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IdeaProjects\qa_guru\files_json\src\test\resources\"/>
    </mc:Choice>
  </mc:AlternateContent>
  <xr:revisionPtr revIDLastSave="0" documentId="13_ncr:1_{7101C489-E82F-4E7D-BAB7-DDDEE3031034}" xr6:coauthVersionLast="47" xr6:coauthVersionMax="47" xr10:uidLastSave="{00000000-0000-0000-0000-000000000000}"/>
  <bookViews>
    <workbookView xWindow="-110" yWindow="-110" windowWidth="19420" windowHeight="10420" xr2:uid="{E57C882C-9B2F-4677-ACCD-B0D073EA77B3}"/>
  </bookViews>
  <sheets>
    <sheet name="виньетки" sheetId="3" r:id="rId1"/>
    <sheet name="8 МАРТА" sheetId="2" r:id="rId2"/>
    <sheet name="НГ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3" l="1"/>
  <c r="J70" i="2"/>
  <c r="K71" i="2"/>
  <c r="J73" i="2"/>
  <c r="J71" i="2"/>
  <c r="J72" i="2"/>
  <c r="K72" i="2" s="1"/>
  <c r="N71" i="2" s="1"/>
  <c r="F72" i="2"/>
  <c r="F69" i="2"/>
  <c r="F65" i="2"/>
  <c r="F68" i="2" s="1"/>
  <c r="F71" i="2" s="1"/>
  <c r="F58" i="2"/>
  <c r="J66" i="2"/>
  <c r="N51" i="2"/>
  <c r="N48" i="2"/>
  <c r="H57" i="2"/>
  <c r="H60" i="2" s="1"/>
  <c r="H61" i="2"/>
  <c r="F61" i="2"/>
  <c r="F54" i="2"/>
  <c r="F57" i="2" s="1"/>
  <c r="H28" i="2"/>
  <c r="H31" i="2" s="1"/>
  <c r="H26" i="2"/>
  <c r="M26" i="2" s="1"/>
  <c r="I30" i="1"/>
  <c r="H31" i="1"/>
  <c r="H29" i="1"/>
  <c r="H26" i="1"/>
  <c r="L26" i="1" s="1"/>
  <c r="H28" i="1"/>
  <c r="F70" i="2" l="1"/>
  <c r="J76" i="2"/>
  <c r="H59" i="2"/>
  <c r="F75" i="2"/>
  <c r="F60" i="2"/>
  <c r="F59" i="2" s="1"/>
  <c r="C59" i="2" s="1"/>
  <c r="J86" i="2" l="1"/>
  <c r="N85" i="2" s="1"/>
  <c r="C60" i="2"/>
</calcChain>
</file>

<file path=xl/sharedStrings.xml><?xml version="1.0" encoding="utf-8"?>
<sst xmlns="http://schemas.openxmlformats.org/spreadsheetml/2006/main" count="517" uniqueCount="194">
  <si>
    <t>Мария К.</t>
  </si>
  <si>
    <t>Ребенок</t>
  </si>
  <si>
    <t>Асель Т.</t>
  </si>
  <si>
    <t xml:space="preserve">Элина </t>
  </si>
  <si>
    <t>Тыныбекова</t>
  </si>
  <si>
    <t>Асман</t>
  </si>
  <si>
    <t>Шеримбеков</t>
  </si>
  <si>
    <t>Ариана</t>
  </si>
  <si>
    <t xml:space="preserve">Канатова </t>
  </si>
  <si>
    <t>Айнура К.</t>
  </si>
  <si>
    <t>Айбийке</t>
  </si>
  <si>
    <t xml:space="preserve">Айкол </t>
  </si>
  <si>
    <t>Жусубалиева</t>
  </si>
  <si>
    <t>оптима</t>
  </si>
  <si>
    <t>обанк</t>
  </si>
  <si>
    <t>мбанк</t>
  </si>
  <si>
    <t>Сейитканова</t>
  </si>
  <si>
    <t>Вероника П.</t>
  </si>
  <si>
    <t>Айдин</t>
  </si>
  <si>
    <t>Джусупов</t>
  </si>
  <si>
    <t>Получила через</t>
  </si>
  <si>
    <t xml:space="preserve">Эмиль </t>
  </si>
  <si>
    <t>Аипов</t>
  </si>
  <si>
    <t>Чынгыз Н.</t>
  </si>
  <si>
    <t xml:space="preserve">Умар </t>
  </si>
  <si>
    <t xml:space="preserve">Байышов </t>
  </si>
  <si>
    <t>Номер телефона</t>
  </si>
  <si>
    <t>+996550509305</t>
  </si>
  <si>
    <t>+996555991001</t>
  </si>
  <si>
    <t>+996555888872</t>
  </si>
  <si>
    <t>+996555757864</t>
  </si>
  <si>
    <t>+996771886566</t>
  </si>
  <si>
    <t>+996555554055</t>
  </si>
  <si>
    <t>+996555774711</t>
  </si>
  <si>
    <t>Амирхан</t>
  </si>
  <si>
    <t>Аскаров</t>
  </si>
  <si>
    <t>Бегимай Н.</t>
  </si>
  <si>
    <t>+996501151111</t>
  </si>
  <si>
    <t>Айдана Р.</t>
  </si>
  <si>
    <t>Нурпери Э.</t>
  </si>
  <si>
    <t>Амир</t>
  </si>
  <si>
    <t xml:space="preserve">Сатаркулов </t>
  </si>
  <si>
    <t>+996705663398</t>
  </si>
  <si>
    <t>Акмаль С.</t>
  </si>
  <si>
    <t>Родитель</t>
  </si>
  <si>
    <t>Дияр</t>
  </si>
  <si>
    <t>Бактыбеков</t>
  </si>
  <si>
    <t>Бурмакул Ш.</t>
  </si>
  <si>
    <t>+996708363630</t>
  </si>
  <si>
    <t>Айдана Д.</t>
  </si>
  <si>
    <t xml:space="preserve">Ясмина </t>
  </si>
  <si>
    <t>Сабирова</t>
  </si>
  <si>
    <t>+996705521111</t>
  </si>
  <si>
    <t>Юлдуз А.</t>
  </si>
  <si>
    <t>Арсен</t>
  </si>
  <si>
    <t>Айтбаев</t>
  </si>
  <si>
    <t>+996550136677</t>
  </si>
  <si>
    <t xml:space="preserve">Адам </t>
  </si>
  <si>
    <t>Ачекеев</t>
  </si>
  <si>
    <t>+996555790102</t>
  </si>
  <si>
    <t>Итого</t>
  </si>
  <si>
    <t>Вероника К.</t>
  </si>
  <si>
    <t xml:space="preserve">Айчурок </t>
  </si>
  <si>
    <t>Бактыбекова</t>
  </si>
  <si>
    <t>+996701111080</t>
  </si>
  <si>
    <t>Рустам Д.</t>
  </si>
  <si>
    <t>Нурзада Т.</t>
  </si>
  <si>
    <t>Аймана</t>
  </si>
  <si>
    <t xml:space="preserve">Акималыева </t>
  </si>
  <si>
    <t>+996551078794</t>
  </si>
  <si>
    <t>Регина Т.</t>
  </si>
  <si>
    <t xml:space="preserve">1. Аскаров Амирхан </t>
  </si>
  <si>
    <t>2. ⁠Айтбаев Арсен</t>
  </si>
  <si>
    <t>3. ⁠Канатова Ариана</t>
  </si>
  <si>
    <t>4. ⁠Тыныбекова Элина</t>
  </si>
  <si>
    <t>5. ⁠Аипов Эмиль</t>
  </si>
  <si>
    <t>6. ⁠Жусубалиева Айкол⁠</t>
  </si>
  <si>
    <t>7. ⁠Сатаркулов Амир</t>
  </si>
  <si>
    <t>8. ⁠Бактыбеков Дияр</t>
  </si>
  <si>
    <t>9. ⁠Сейитканова Айбийке</t>
  </si>
  <si>
    <t xml:space="preserve">10. ⁠Шадыева Айлин </t>
  </si>
  <si>
    <t>11. ⁠Ачекеев Адам</t>
  </si>
  <si>
    <t>12. ⁠Алибеков Алихан</t>
  </si>
  <si>
    <t>13. ⁠Джусупов Айдин</t>
  </si>
  <si>
    <t xml:space="preserve">14. ⁠Шеримбеков Асман </t>
  </si>
  <si>
    <t xml:space="preserve">15. ⁠Бакытбекова Айчурок </t>
  </si>
  <si>
    <t>16. ⁠Сабирова Ясмина</t>
  </si>
  <si>
    <t xml:space="preserve">17. ⁠Акималыева Аймана </t>
  </si>
  <si>
    <t>18. ⁠Байышов Умар</t>
  </si>
  <si>
    <t>19. ⁠Доминик</t>
  </si>
  <si>
    <t>20. ⁠Базарбаев Артур</t>
  </si>
  <si>
    <t>21. ⁠Шаршембаева Медина</t>
  </si>
  <si>
    <t>Доминик</t>
  </si>
  <si>
    <t>+996550704876</t>
  </si>
  <si>
    <t>Айлин</t>
  </si>
  <si>
    <t>+996502918991</t>
  </si>
  <si>
    <t>+996706898877</t>
  </si>
  <si>
    <t>Алихан</t>
  </si>
  <si>
    <t>Артур</t>
  </si>
  <si>
    <t>+996555161292</t>
  </si>
  <si>
    <t>Медина</t>
  </si>
  <si>
    <t>+996507177774</t>
  </si>
  <si>
    <t>⁠Аипов Эмиль</t>
  </si>
  <si>
    <t>⁠Айтбаев Арсен</t>
  </si>
  <si>
    <t>Шадыева</t>
  </si>
  <si>
    <t>Бурулкан М.</t>
  </si>
  <si>
    <t>Женишбек Ш.</t>
  </si>
  <si>
    <t>⁠Алибеков Алихан</t>
  </si>
  <si>
    <t xml:space="preserve">Акималыева Аймана </t>
  </si>
  <si>
    <t xml:space="preserve">Аскаров Амирхан </t>
  </si>
  <si>
    <t>Ачекеев Адам</t>
  </si>
  <si>
    <t>⁠Базарбаев Артур</t>
  </si>
  <si>
    <t>Байышов Умар</t>
  </si>
  <si>
    <t>⁠Бактыбеков Дияр</t>
  </si>
  <si>
    <t xml:space="preserve">Бакытбекова Айчурок </t>
  </si>
  <si>
    <t>⁠Джусупов Айдин</t>
  </si>
  <si>
    <t>Жусубалиева Айкол⁠</t>
  </si>
  <si>
    <t>⁠Канатова Ариана</t>
  </si>
  <si>
    <t>Сабирова Ясмина</t>
  </si>
  <si>
    <t>⁠Сатаркулов Амир</t>
  </si>
  <si>
    <t>⁠Сейитканова Айбийке</t>
  </si>
  <si>
    <t>Тыныбекова Элина</t>
  </si>
  <si>
    <t xml:space="preserve">Шадыева Айлин </t>
  </si>
  <si>
    <t>Шаршембаева Медина</t>
  </si>
  <si>
    <t xml:space="preserve">Шеримбеков Асман </t>
  </si>
  <si>
    <t>Базарбаев</t>
  </si>
  <si>
    <t>Бектурсун Э.</t>
  </si>
  <si>
    <t>Алтынай Э.</t>
  </si>
  <si>
    <t>⁠Доминик</t>
  </si>
  <si>
    <t>Алина А.</t>
  </si>
  <si>
    <t>0555704876 мбанк</t>
  </si>
  <si>
    <t>⁠Шаршембаева </t>
  </si>
  <si>
    <t>Айбек Ш.</t>
  </si>
  <si>
    <t>Тина</t>
  </si>
  <si>
    <t>+79101190914</t>
  </si>
  <si>
    <t>НГ</t>
  </si>
  <si>
    <t>Аймира Э.</t>
  </si>
  <si>
    <t>Алибеков</t>
  </si>
  <si>
    <t>Айдана</t>
  </si>
  <si>
    <t>Мария</t>
  </si>
  <si>
    <t xml:space="preserve">Асель </t>
  </si>
  <si>
    <t>8 МАРТА</t>
  </si>
  <si>
    <t>Сагынбек С.</t>
  </si>
  <si>
    <t>Айнура О.</t>
  </si>
  <si>
    <t>Арсений</t>
  </si>
  <si>
    <t>Быков</t>
  </si>
  <si>
    <t>+996704119962</t>
  </si>
  <si>
    <t>Артем Б.</t>
  </si>
  <si>
    <t>Сабина Б.</t>
  </si>
  <si>
    <t>+996555704876</t>
  </si>
  <si>
    <t>Арсений Быков</t>
  </si>
  <si>
    <t>Быков Арсений</t>
  </si>
  <si>
    <t xml:space="preserve">Мария </t>
  </si>
  <si>
    <t>Доп перевод</t>
  </si>
  <si>
    <t>Вариант 1</t>
  </si>
  <si>
    <t>Вариант 2</t>
  </si>
  <si>
    <t>Плов Чайхана</t>
  </si>
  <si>
    <t>Самсы Чайхана</t>
  </si>
  <si>
    <t>Доставка</t>
  </si>
  <si>
    <t xml:space="preserve">Доставка </t>
  </si>
  <si>
    <t>Самсы Мамины рецепты</t>
  </si>
  <si>
    <t>Сумолок</t>
  </si>
  <si>
    <t>С одного ученика</t>
  </si>
  <si>
    <t>За Нооруз</t>
  </si>
  <si>
    <t>Итого (за вычетом остатка, 2368 сом, который отложили ранее)</t>
  </si>
  <si>
    <t>Долг за фотографа на 8 марта (18 человек)</t>
  </si>
  <si>
    <t>сом</t>
  </si>
  <si>
    <t>Костюм</t>
  </si>
  <si>
    <t>Асман, Айдин, Айчурок</t>
  </si>
  <si>
    <t>фотограф Асман, Айдин, Айчурок</t>
  </si>
  <si>
    <t>Итого (за вычетом остатка, который отложили ранее)</t>
  </si>
  <si>
    <t>итого 2368, 2030 на 18 человек</t>
  </si>
  <si>
    <t>Айчурок</t>
  </si>
  <si>
    <t>Костюм 400сом с чел</t>
  </si>
  <si>
    <t>Эмиль, Адам, Арсений</t>
  </si>
  <si>
    <t>еще по 50</t>
  </si>
  <si>
    <t>6824 на плов, самсы, сумолок</t>
  </si>
  <si>
    <t>СГ отправила на костюмы</t>
  </si>
  <si>
    <t>6000 отправлены на мбанк</t>
  </si>
  <si>
    <t>в общую копилку</t>
  </si>
  <si>
    <t>Остаток</t>
  </si>
  <si>
    <t>сухофрукты</t>
  </si>
  <si>
    <t xml:space="preserve">  </t>
  </si>
  <si>
    <t>оплата фотограф</t>
  </si>
  <si>
    <t>оплата костюмы</t>
  </si>
  <si>
    <t>Элина</t>
  </si>
  <si>
    <t>Айкол</t>
  </si>
  <si>
    <t>Эмиль</t>
  </si>
  <si>
    <t>Умар</t>
  </si>
  <si>
    <t>Ясмина</t>
  </si>
  <si>
    <t>Адам</t>
  </si>
  <si>
    <t>Канатова</t>
  </si>
  <si>
    <t>Байышов</t>
  </si>
  <si>
    <t>Сатаркулов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</si>
</sst>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strike/>
      <sz val="11"/>
      <color theme="1"/>
      <name val="Aptos Narrow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1" fillId="0" borderId="1" xfId="0" applyFont="1" applyBorder="1"/>
    <xf numFmtId="49" fontId="0" fillId="0" borderId="1" xfId="0" applyNumberFormat="1" applyBorder="1"/>
    <xf numFmtId="49" fontId="0" fillId="2" borderId="1" xfId="0" applyNumberFormat="1" applyFill="1" applyBorder="1"/>
    <xf numFmtId="49" fontId="0" fillId="0" borderId="0" xfId="0" applyNumberFormat="1"/>
    <xf numFmtId="0" fontId="0" fillId="3" borderId="0" xfId="0" applyFill="1"/>
    <xf numFmtId="0" fontId="3" fillId="0" borderId="0" xfId="0" applyFont="1"/>
    <xf numFmtId="0" fontId="1" fillId="0" borderId="0" xfId="0" applyFont="1"/>
    <xf numFmtId="0" fontId="4" fillId="0" borderId="1" xfId="0" applyFont="1" applyBorder="1"/>
    <xf numFmtId="0" fontId="0" fillId="4" borderId="0" xfId="0" applyFill="1"/>
    <xf numFmtId="0" fontId="4" fillId="4" borderId="0" xfId="0" applyFont="1" applyFill="1"/>
    <xf numFmtId="49" fontId="0" fillId="5" borderId="1" xfId="0" applyNumberFormat="1" applyFill="1" applyBorder="1"/>
    <xf numFmtId="0" fontId="0" fillId="5" borderId="1" xfId="0" applyFill="1" applyBorder="1"/>
    <xf numFmtId="0" fontId="3" fillId="0" borderId="1" xfId="0" applyFont="1" applyBorder="1"/>
    <xf numFmtId="0" fontId="0" fillId="6" borderId="0" xfId="0" applyFill="1"/>
    <xf numFmtId="0" fontId="5" fillId="3" borderId="0" xfId="0" applyFont="1" applyFill="1"/>
    <xf numFmtId="0" fontId="4" fillId="6" borderId="0" xfId="0" applyFont="1" applyFill="1"/>
    <xf numFmtId="0" fontId="5" fillId="4" borderId="0" xfId="0" applyFont="1" applyFill="1"/>
    <xf numFmtId="49" fontId="0" fillId="0" borderId="2" xfId="0" applyNumberFormat="1" applyBorder="1"/>
    <xf numFmtId="0" fontId="0" fillId="0" borderId="3" xfId="0" applyBorder="1"/>
    <xf numFmtId="0" fontId="0" fillId="0" borderId="0" xfId="0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0" xfId="0" applyNumberFormat="1" applyAlignment="1">
      <alignment wrapText="1"/>
    </xf>
    <xf numFmtId="1" fontId="0" fillId="0" borderId="3" xfId="0" applyNumberFormat="1" applyBorder="1"/>
    <xf numFmtId="49" fontId="0" fillId="0" borderId="4" xfId="0" applyNumberFormat="1" applyBorder="1" applyAlignment="1">
      <alignment wrapText="1"/>
    </xf>
    <xf numFmtId="49" fontId="0" fillId="0" borderId="5" xfId="0" applyNumberFormat="1" applyBorder="1" applyAlignment="1">
      <alignment wrapText="1"/>
    </xf>
    <xf numFmtId="1" fontId="0" fillId="0" borderId="6" xfId="0" applyNumberFormat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49" fontId="0" fillId="7" borderId="2" xfId="0" applyNumberFormat="1" applyFill="1" applyBorder="1"/>
    <xf numFmtId="1" fontId="1" fillId="7" borderId="3" xfId="0" applyNumberFormat="1" applyFont="1" applyFill="1" applyBorder="1"/>
    <xf numFmtId="49" fontId="0" fillId="7" borderId="0" xfId="0" applyNumberFormat="1" applyFill="1"/>
    <xf numFmtId="1" fontId="0" fillId="0" borderId="0" xfId="0" applyNumberFormat="1"/>
    <xf numFmtId="0" fontId="3" fillId="3" borderId="0" xfId="0" applyFont="1" applyFill="1"/>
    <xf numFmtId="49" fontId="0" fillId="0" borderId="1" xfId="0" applyNumberFormat="1" applyBorder="1" applyAlignment="1">
      <alignment wrapText="1"/>
    </xf>
    <xf numFmtId="1" fontId="0" fillId="0" borderId="1" xfId="0" applyNumberFormat="1" applyBorder="1"/>
    <xf numFmtId="49" fontId="0" fillId="7" borderId="1" xfId="0" applyNumberFormat="1" applyFill="1" applyBorder="1"/>
    <xf numFmtId="1" fontId="1" fillId="7" borderId="1" xfId="0" applyNumberFormat="1" applyFont="1" applyFill="1" applyBorder="1"/>
    <xf numFmtId="0" fontId="0" fillId="8" borderId="1" xfId="0" applyFill="1" applyBorder="1"/>
    <xf numFmtId="0" fontId="0" fillId="9" borderId="1" xfId="0" applyFill="1" applyBorder="1"/>
    <xf numFmtId="0" fontId="0" fillId="9" borderId="0" xfId="0" applyFill="1"/>
    <xf numFmtId="1" fontId="0" fillId="9" borderId="0" xfId="0" applyNumberFormat="1" applyFill="1"/>
    <xf numFmtId="0" fontId="1" fillId="9" borderId="0" xfId="0" applyFont="1" applyFill="1"/>
    <xf numFmtId="0" fontId="1" fillId="3" borderId="0" xfId="0" applyFont="1" applyFill="1"/>
    <xf numFmtId="0" fontId="0" fillId="0" borderId="0" xfId="0" applyAlignment="1">
      <alignment horizontal="right"/>
    </xf>
    <xf numFmtId="0" fontId="0" fillId="10" borderId="1" xfId="0" applyFill="1" applyBorder="1"/>
    <xf numFmtId="49" fontId="0" fillId="10" borderId="1" xfId="0" applyNumberFormat="1" applyFill="1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8" borderId="10" xfId="0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5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52DC7-7453-4DC7-8F95-E790A2017F43}">
  <dimension ref="A3:L50"/>
  <sheetViews>
    <sheetView tabSelected="1" zoomScaleNormal="100" workbookViewId="0">
      <selection activeCell="B4" sqref="B4"/>
    </sheetView>
  </sheetViews>
  <sheetFormatPr defaultRowHeight="14.5" x14ac:dyDescent="0.35"/>
  <cols>
    <col min="1" max="1" width="2.81640625" bestFit="1" customWidth="1"/>
    <col min="3" max="3" width="13.54296875" bestFit="1" customWidth="1"/>
    <col min="4" max="4" width="11.08984375" bestFit="1" customWidth="1"/>
    <col min="5" max="5" width="18.6328125" customWidth="1"/>
    <col min="6" max="6" width="6.81640625" bestFit="1" customWidth="1"/>
    <col min="7" max="7" width="17.453125" customWidth="1"/>
    <col min="8" max="8" width="9.6328125" customWidth="1"/>
    <col min="9" max="10" width="7.81640625" customWidth="1"/>
    <col min="11" max="11" width="23.26953125" bestFit="1" customWidth="1"/>
  </cols>
  <sheetData>
    <row r="3" spans="1:11" x14ac:dyDescent="0.35">
      <c r="A3" s="1"/>
      <c r="B3" s="50" t="s">
        <v>1</v>
      </c>
      <c r="C3" s="50"/>
      <c r="D3" s="2" t="s">
        <v>44</v>
      </c>
      <c r="E3" s="2" t="s">
        <v>26</v>
      </c>
      <c r="F3" s="51" t="s">
        <v>20</v>
      </c>
      <c r="G3" s="51"/>
      <c r="H3" s="1"/>
      <c r="K3" s="6" t="s">
        <v>71</v>
      </c>
    </row>
    <row r="4" spans="1:11" x14ac:dyDescent="0.35">
      <c r="A4" s="1">
        <v>1</v>
      </c>
      <c r="B4" s="1" t="s">
        <v>185</v>
      </c>
      <c r="C4" s="1" t="s">
        <v>4</v>
      </c>
      <c r="D4" s="47" t="s">
        <v>0</v>
      </c>
      <c r="E4" s="48" t="s">
        <v>33</v>
      </c>
      <c r="F4" s="47" t="s">
        <v>15</v>
      </c>
      <c r="G4" s="1"/>
      <c r="H4" s="47">
        <v>2000</v>
      </c>
      <c r="K4" s="6" t="s">
        <v>72</v>
      </c>
    </row>
    <row r="5" spans="1:11" x14ac:dyDescent="0.35">
      <c r="A5" s="1">
        <v>2</v>
      </c>
      <c r="B5" s="1" t="s">
        <v>5</v>
      </c>
      <c r="C5" s="1" t="s">
        <v>6</v>
      </c>
      <c r="D5" s="14" t="s">
        <v>2</v>
      </c>
      <c r="E5" s="48" t="s">
        <v>32</v>
      </c>
      <c r="F5" s="47" t="s">
        <v>15</v>
      </c>
      <c r="G5" s="1"/>
      <c r="H5" s="47">
        <v>2000</v>
      </c>
      <c r="K5" s="6" t="s">
        <v>73</v>
      </c>
    </row>
    <row r="6" spans="1:11" x14ac:dyDescent="0.35">
      <c r="A6" s="1">
        <v>3</v>
      </c>
      <c r="B6" s="1" t="s">
        <v>7</v>
      </c>
      <c r="C6" s="1" t="s">
        <v>191</v>
      </c>
      <c r="D6" s="1"/>
      <c r="E6" s="48" t="s">
        <v>31</v>
      </c>
      <c r="F6" s="47" t="s">
        <v>14</v>
      </c>
      <c r="G6" s="1"/>
      <c r="H6" s="47">
        <v>2000</v>
      </c>
      <c r="K6" s="6" t="s">
        <v>74</v>
      </c>
    </row>
    <row r="7" spans="1:11" x14ac:dyDescent="0.35">
      <c r="A7" s="1">
        <v>4</v>
      </c>
      <c r="B7" s="1" t="s">
        <v>10</v>
      </c>
      <c r="C7" s="1" t="s">
        <v>16</v>
      </c>
      <c r="D7" s="14" t="s">
        <v>143</v>
      </c>
      <c r="E7" s="48" t="s">
        <v>30</v>
      </c>
      <c r="F7" s="47" t="s">
        <v>15</v>
      </c>
      <c r="G7" s="14"/>
      <c r="H7" s="47">
        <v>2000</v>
      </c>
      <c r="K7" s="6" t="s">
        <v>75</v>
      </c>
    </row>
    <row r="8" spans="1:11" x14ac:dyDescent="0.35">
      <c r="A8" s="1">
        <v>5</v>
      </c>
      <c r="B8" s="1" t="s">
        <v>186</v>
      </c>
      <c r="C8" s="1" t="s">
        <v>12</v>
      </c>
      <c r="D8" s="14" t="s">
        <v>17</v>
      </c>
      <c r="E8" s="48" t="s">
        <v>29</v>
      </c>
      <c r="F8" s="47" t="s">
        <v>15</v>
      </c>
      <c r="G8" s="1"/>
      <c r="H8" s="47">
        <v>2000</v>
      </c>
      <c r="K8" s="6" t="s">
        <v>76</v>
      </c>
    </row>
    <row r="9" spans="1:11" x14ac:dyDescent="0.35">
      <c r="A9" s="1">
        <v>6</v>
      </c>
      <c r="B9" s="1" t="s">
        <v>18</v>
      </c>
      <c r="C9" s="1" t="s">
        <v>19</v>
      </c>
      <c r="D9" s="1"/>
      <c r="E9" s="3"/>
      <c r="F9" s="1" t="s">
        <v>15</v>
      </c>
      <c r="G9" s="1"/>
      <c r="H9" s="47">
        <v>2000</v>
      </c>
      <c r="K9" s="6" t="s">
        <v>77</v>
      </c>
    </row>
    <row r="10" spans="1:11" x14ac:dyDescent="0.35">
      <c r="A10" s="1">
        <v>7</v>
      </c>
      <c r="B10" s="1" t="s">
        <v>187</v>
      </c>
      <c r="C10" s="1" t="s">
        <v>22</v>
      </c>
      <c r="D10" s="47" t="s">
        <v>38</v>
      </c>
      <c r="E10" s="48" t="s">
        <v>28</v>
      </c>
      <c r="F10" s="47" t="s">
        <v>15</v>
      </c>
      <c r="G10" s="1"/>
      <c r="H10" s="47">
        <v>2000</v>
      </c>
      <c r="K10" s="6" t="s">
        <v>78</v>
      </c>
    </row>
    <row r="11" spans="1:11" x14ac:dyDescent="0.35">
      <c r="A11" s="1">
        <v>8</v>
      </c>
      <c r="B11" s="1" t="s">
        <v>188</v>
      </c>
      <c r="C11" s="1" t="s">
        <v>192</v>
      </c>
      <c r="D11" s="47" t="s">
        <v>39</v>
      </c>
      <c r="E11" s="48" t="s">
        <v>27</v>
      </c>
      <c r="F11" s="47" t="s">
        <v>15</v>
      </c>
      <c r="G11" s="1"/>
      <c r="H11" s="47">
        <v>2000</v>
      </c>
      <c r="K11" s="6" t="s">
        <v>79</v>
      </c>
    </row>
    <row r="12" spans="1:11" x14ac:dyDescent="0.35">
      <c r="A12" s="1">
        <v>9</v>
      </c>
      <c r="B12" s="1" t="s">
        <v>34</v>
      </c>
      <c r="C12" s="1" t="s">
        <v>35</v>
      </c>
      <c r="D12" s="14" t="s">
        <v>36</v>
      </c>
      <c r="E12" s="48" t="s">
        <v>37</v>
      </c>
      <c r="F12" s="47" t="s">
        <v>15</v>
      </c>
      <c r="G12" s="1"/>
      <c r="H12" s="47">
        <v>2000</v>
      </c>
      <c r="K12" s="6" t="s">
        <v>80</v>
      </c>
    </row>
    <row r="13" spans="1:11" x14ac:dyDescent="0.35">
      <c r="A13" s="1">
        <v>10</v>
      </c>
      <c r="B13" s="1" t="s">
        <v>40</v>
      </c>
      <c r="C13" s="1" t="s">
        <v>193</v>
      </c>
      <c r="D13" s="9" t="s">
        <v>43</v>
      </c>
      <c r="E13" s="48" t="s">
        <v>42</v>
      </c>
      <c r="F13" s="47" t="s">
        <v>15</v>
      </c>
      <c r="G13" s="1"/>
      <c r="H13" s="47">
        <v>2000</v>
      </c>
      <c r="K13" s="6" t="s">
        <v>81</v>
      </c>
    </row>
    <row r="14" spans="1:11" x14ac:dyDescent="0.35">
      <c r="A14" s="1">
        <v>11</v>
      </c>
      <c r="B14" s="1" t="s">
        <v>45</v>
      </c>
      <c r="C14" s="1" t="s">
        <v>46</v>
      </c>
      <c r="D14" s="1" t="s">
        <v>49</v>
      </c>
      <c r="E14" s="3" t="s">
        <v>48</v>
      </c>
      <c r="F14" s="1" t="s">
        <v>13</v>
      </c>
      <c r="G14" s="1"/>
      <c r="H14" s="1"/>
      <c r="K14" s="6" t="s">
        <v>82</v>
      </c>
    </row>
    <row r="15" spans="1:11" x14ac:dyDescent="0.35">
      <c r="A15" s="1">
        <v>12</v>
      </c>
      <c r="B15" s="1" t="s">
        <v>189</v>
      </c>
      <c r="C15" s="1" t="s">
        <v>51</v>
      </c>
      <c r="D15" s="1"/>
      <c r="E15" s="48" t="s">
        <v>52</v>
      </c>
      <c r="F15" s="47" t="s">
        <v>15</v>
      </c>
      <c r="G15" s="47" t="s">
        <v>142</v>
      </c>
      <c r="H15" s="47">
        <v>2000</v>
      </c>
      <c r="K15" s="6" t="s">
        <v>83</v>
      </c>
    </row>
    <row r="16" spans="1:11" x14ac:dyDescent="0.35">
      <c r="A16" s="1">
        <v>13</v>
      </c>
      <c r="B16" s="1" t="s">
        <v>54</v>
      </c>
      <c r="C16" s="1" t="s">
        <v>55</v>
      </c>
      <c r="D16" s="47" t="s">
        <v>53</v>
      </c>
      <c r="E16" s="48" t="s">
        <v>56</v>
      </c>
      <c r="F16" s="47" t="s">
        <v>15</v>
      </c>
      <c r="G16" s="1"/>
      <c r="H16" s="47">
        <v>2000</v>
      </c>
      <c r="K16" s="6" t="s">
        <v>84</v>
      </c>
    </row>
    <row r="17" spans="1:12" x14ac:dyDescent="0.35">
      <c r="A17" s="1">
        <v>14</v>
      </c>
      <c r="B17" s="1" t="s">
        <v>190</v>
      </c>
      <c r="C17" s="1" t="s">
        <v>58</v>
      </c>
      <c r="D17" s="14" t="s">
        <v>61</v>
      </c>
      <c r="E17" s="48" t="s">
        <v>59</v>
      </c>
      <c r="F17" s="47" t="s">
        <v>13</v>
      </c>
      <c r="G17" s="1"/>
      <c r="H17" s="47">
        <v>2000</v>
      </c>
      <c r="K17" s="6" t="s">
        <v>85</v>
      </c>
    </row>
    <row r="18" spans="1:12" x14ac:dyDescent="0.35">
      <c r="A18" s="1">
        <v>15</v>
      </c>
      <c r="B18" s="1" t="s">
        <v>172</v>
      </c>
      <c r="C18" s="1" t="s">
        <v>63</v>
      </c>
      <c r="D18" s="47" t="s">
        <v>66</v>
      </c>
      <c r="E18" s="48" t="s">
        <v>64</v>
      </c>
      <c r="F18" s="47" t="s">
        <v>15</v>
      </c>
      <c r="G18" s="1" t="s">
        <v>65</v>
      </c>
      <c r="H18" s="47">
        <v>2000</v>
      </c>
      <c r="K18" s="6" t="s">
        <v>86</v>
      </c>
    </row>
    <row r="19" spans="1:12" x14ac:dyDescent="0.35">
      <c r="A19" s="1">
        <v>16</v>
      </c>
      <c r="B19" s="1" t="s">
        <v>144</v>
      </c>
      <c r="C19" s="1" t="s">
        <v>145</v>
      </c>
      <c r="D19" s="14" t="s">
        <v>148</v>
      </c>
      <c r="E19" s="48" t="s">
        <v>146</v>
      </c>
      <c r="F19" s="47" t="s">
        <v>13</v>
      </c>
      <c r="G19" s="1"/>
      <c r="H19" s="47">
        <v>2000</v>
      </c>
      <c r="K19" s="16" t="s">
        <v>87</v>
      </c>
      <c r="L19" s="6" t="s">
        <v>151</v>
      </c>
    </row>
    <row r="20" spans="1:12" x14ac:dyDescent="0.35">
      <c r="A20" s="1">
        <v>17</v>
      </c>
      <c r="B20" s="9" t="s">
        <v>92</v>
      </c>
      <c r="C20" s="1"/>
      <c r="D20" s="47" t="s">
        <v>129</v>
      </c>
      <c r="E20" s="48" t="s">
        <v>149</v>
      </c>
      <c r="F20" s="47" t="s">
        <v>15</v>
      </c>
      <c r="G20" s="1"/>
      <c r="H20" s="47">
        <v>2000</v>
      </c>
      <c r="K20" s="6" t="s">
        <v>88</v>
      </c>
    </row>
    <row r="21" spans="1:12" x14ac:dyDescent="0.35">
      <c r="A21" s="1">
        <v>18</v>
      </c>
      <c r="B21" s="9" t="s">
        <v>94</v>
      </c>
      <c r="C21" s="1" t="s">
        <v>104</v>
      </c>
      <c r="D21" s="14" t="s">
        <v>105</v>
      </c>
      <c r="E21" s="48" t="s">
        <v>95</v>
      </c>
      <c r="F21" s="47" t="s">
        <v>15</v>
      </c>
      <c r="G21" s="1"/>
      <c r="H21" s="47">
        <v>2000</v>
      </c>
      <c r="K21" s="6" t="s">
        <v>89</v>
      </c>
    </row>
    <row r="22" spans="1:12" x14ac:dyDescent="0.35">
      <c r="A22" s="1">
        <v>19</v>
      </c>
      <c r="B22" s="1" t="s">
        <v>97</v>
      </c>
      <c r="C22" s="1" t="s">
        <v>137</v>
      </c>
      <c r="D22" s="1" t="s">
        <v>136</v>
      </c>
      <c r="E22" s="3" t="s">
        <v>96</v>
      </c>
      <c r="F22" s="1" t="s">
        <v>15</v>
      </c>
      <c r="G22" s="1"/>
      <c r="H22" s="1"/>
      <c r="K22" s="6" t="s">
        <v>90</v>
      </c>
    </row>
    <row r="23" spans="1:12" x14ac:dyDescent="0.35">
      <c r="A23" s="1">
        <v>20</v>
      </c>
      <c r="B23" s="9" t="s">
        <v>98</v>
      </c>
      <c r="C23" s="1" t="s">
        <v>125</v>
      </c>
      <c r="D23" s="1" t="s">
        <v>127</v>
      </c>
      <c r="E23" s="3" t="s">
        <v>99</v>
      </c>
      <c r="F23" s="1" t="s">
        <v>15</v>
      </c>
      <c r="G23" s="1" t="s">
        <v>126</v>
      </c>
      <c r="H23" s="47">
        <v>2000</v>
      </c>
      <c r="K23" s="6" t="s">
        <v>91</v>
      </c>
    </row>
    <row r="24" spans="1:12" x14ac:dyDescent="0.35">
      <c r="A24" s="52">
        <v>21</v>
      </c>
      <c r="B24" s="53" t="s">
        <v>100</v>
      </c>
      <c r="C24" s="52" t="s">
        <v>131</v>
      </c>
      <c r="D24" s="1" t="s">
        <v>132</v>
      </c>
      <c r="E24" s="3" t="s">
        <v>101</v>
      </c>
      <c r="F24" s="52"/>
      <c r="G24" s="52"/>
      <c r="H24" s="49"/>
      <c r="I24" s="46"/>
      <c r="J24" s="46"/>
    </row>
    <row r="25" spans="1:12" x14ac:dyDescent="0.35">
      <c r="A25" s="52"/>
      <c r="B25" s="53"/>
      <c r="C25" s="52"/>
      <c r="D25" s="1" t="s">
        <v>133</v>
      </c>
      <c r="E25" s="3" t="s">
        <v>134</v>
      </c>
      <c r="F25" s="52"/>
      <c r="G25" s="52"/>
      <c r="H25" s="49"/>
      <c r="I25" s="46"/>
      <c r="J25" s="46"/>
    </row>
    <row r="26" spans="1:12" x14ac:dyDescent="0.35">
      <c r="B26" s="8" t="s">
        <v>60</v>
      </c>
      <c r="E26" s="5"/>
      <c r="H26" s="8">
        <f>SUM(H4:H25)</f>
        <v>36000</v>
      </c>
      <c r="I26" s="8"/>
      <c r="J26" s="8"/>
    </row>
    <row r="27" spans="1:12" x14ac:dyDescent="0.35">
      <c r="E27" s="5"/>
    </row>
    <row r="28" spans="1:12" x14ac:dyDescent="0.35">
      <c r="B28" s="10" t="s">
        <v>102</v>
      </c>
      <c r="E28" s="5"/>
    </row>
    <row r="29" spans="1:12" x14ac:dyDescent="0.35">
      <c r="B29" s="10" t="s">
        <v>103</v>
      </c>
      <c r="E29" s="5"/>
    </row>
    <row r="30" spans="1:12" x14ac:dyDescent="0.35">
      <c r="B30" s="18" t="s">
        <v>108</v>
      </c>
      <c r="E30" s="5"/>
    </row>
    <row r="31" spans="1:12" x14ac:dyDescent="0.35">
      <c r="B31" s="10" t="s">
        <v>107</v>
      </c>
      <c r="E31" s="5"/>
    </row>
    <row r="32" spans="1:12" x14ac:dyDescent="0.35">
      <c r="B32" s="10" t="s">
        <v>109</v>
      </c>
      <c r="E32" s="5"/>
    </row>
    <row r="33" spans="2:11" x14ac:dyDescent="0.35">
      <c r="B33" s="10" t="s">
        <v>110</v>
      </c>
      <c r="E33" s="5"/>
    </row>
    <row r="34" spans="2:11" x14ac:dyDescent="0.35">
      <c r="B34" s="11" t="s">
        <v>111</v>
      </c>
      <c r="E34" s="5"/>
    </row>
    <row r="35" spans="2:11" x14ac:dyDescent="0.35">
      <c r="B35" s="10" t="s">
        <v>112</v>
      </c>
      <c r="E35" s="5"/>
    </row>
    <row r="36" spans="2:11" x14ac:dyDescent="0.35">
      <c r="B36" s="10" t="s">
        <v>113</v>
      </c>
      <c r="E36" s="5"/>
    </row>
    <row r="37" spans="2:11" x14ac:dyDescent="0.35">
      <c r="B37" s="10" t="s">
        <v>114</v>
      </c>
      <c r="E37" s="5"/>
    </row>
    <row r="38" spans="2:11" x14ac:dyDescent="0.35">
      <c r="B38" s="10" t="s">
        <v>115</v>
      </c>
      <c r="E38" s="5"/>
    </row>
    <row r="39" spans="2:11" x14ac:dyDescent="0.35">
      <c r="B39" s="10" t="s">
        <v>116</v>
      </c>
      <c r="E39" s="5"/>
    </row>
    <row r="40" spans="2:11" x14ac:dyDescent="0.35">
      <c r="B40" s="10" t="s">
        <v>117</v>
      </c>
      <c r="E40" s="5"/>
    </row>
    <row r="41" spans="2:11" x14ac:dyDescent="0.35">
      <c r="B41" s="10" t="s">
        <v>118</v>
      </c>
      <c r="E41" s="5"/>
    </row>
    <row r="42" spans="2:11" x14ac:dyDescent="0.35">
      <c r="B42" s="10" t="s">
        <v>119</v>
      </c>
      <c r="E42" s="5"/>
    </row>
    <row r="43" spans="2:11" x14ac:dyDescent="0.35">
      <c r="B43" s="10" t="s">
        <v>120</v>
      </c>
      <c r="E43" s="5"/>
    </row>
    <row r="44" spans="2:11" x14ac:dyDescent="0.35">
      <c r="B44" s="10" t="s">
        <v>121</v>
      </c>
      <c r="E44" s="5"/>
    </row>
    <row r="45" spans="2:11" x14ac:dyDescent="0.35">
      <c r="B45" s="11" t="s">
        <v>122</v>
      </c>
      <c r="E45" s="5"/>
    </row>
    <row r="46" spans="2:11" x14ac:dyDescent="0.35">
      <c r="B46" s="10" t="s">
        <v>123</v>
      </c>
      <c r="E46" s="5"/>
      <c r="K46" s="7"/>
    </row>
    <row r="47" spans="2:11" x14ac:dyDescent="0.35">
      <c r="B47" s="10" t="s">
        <v>124</v>
      </c>
      <c r="E47" s="5"/>
    </row>
    <row r="48" spans="2:11" x14ac:dyDescent="0.35">
      <c r="B48" s="10" t="s">
        <v>128</v>
      </c>
      <c r="E48" s="5"/>
    </row>
    <row r="49" spans="2:5" x14ac:dyDescent="0.35">
      <c r="B49" s="10" t="s">
        <v>150</v>
      </c>
      <c r="E49" s="5"/>
    </row>
    <row r="50" spans="2:5" x14ac:dyDescent="0.35">
      <c r="E50" s="5"/>
    </row>
  </sheetData>
  <mergeCells count="8">
    <mergeCell ref="H24:H25"/>
    <mergeCell ref="B3:C3"/>
    <mergeCell ref="F3:G3"/>
    <mergeCell ref="A24:A25"/>
    <mergeCell ref="B24:B25"/>
    <mergeCell ref="C24:C25"/>
    <mergeCell ref="F24:F25"/>
    <mergeCell ref="G24:G25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99FC-134F-42C5-8BD6-489682C63B55}">
  <dimension ref="A3:O88"/>
  <sheetViews>
    <sheetView topLeftCell="A10" zoomScaleNormal="100" workbookViewId="0">
      <selection activeCell="J73" sqref="J73"/>
    </sheetView>
  </sheetViews>
  <sheetFormatPr defaultRowHeight="14.5" x14ac:dyDescent="0.35"/>
  <cols>
    <col min="1" max="1" width="2.81640625" bestFit="1" customWidth="1"/>
    <col min="3" max="3" width="13.54296875" bestFit="1" customWidth="1"/>
    <col min="4" max="4" width="11.08984375" bestFit="1" customWidth="1"/>
    <col min="5" max="5" width="18.6328125" customWidth="1"/>
    <col min="6" max="6" width="6.81640625" bestFit="1" customWidth="1"/>
    <col min="7" max="7" width="17.453125" customWidth="1"/>
    <col min="8" max="8" width="7.81640625" hidden="1" customWidth="1"/>
    <col min="9" max="9" width="22.453125" customWidth="1"/>
    <col min="14" max="14" width="23.26953125" bestFit="1" customWidth="1"/>
  </cols>
  <sheetData>
    <row r="3" spans="1:14" x14ac:dyDescent="0.35">
      <c r="A3" s="1"/>
      <c r="B3" s="50" t="s">
        <v>1</v>
      </c>
      <c r="C3" s="50"/>
      <c r="D3" s="2" t="s">
        <v>44</v>
      </c>
      <c r="E3" s="2" t="s">
        <v>26</v>
      </c>
      <c r="F3" s="51" t="s">
        <v>20</v>
      </c>
      <c r="G3" s="51"/>
      <c r="H3" s="1" t="s">
        <v>141</v>
      </c>
      <c r="N3" s="6" t="s">
        <v>71</v>
      </c>
    </row>
    <row r="4" spans="1:14" x14ac:dyDescent="0.35">
      <c r="A4" s="1">
        <v>1</v>
      </c>
      <c r="B4" s="1" t="s">
        <v>3</v>
      </c>
      <c r="C4" s="1" t="s">
        <v>4</v>
      </c>
      <c r="D4" s="1" t="s">
        <v>0</v>
      </c>
      <c r="E4" s="12" t="s">
        <v>33</v>
      </c>
      <c r="F4" s="13" t="s">
        <v>15</v>
      </c>
      <c r="G4" s="1"/>
      <c r="H4" s="13">
        <v>1600</v>
      </c>
      <c r="I4" s="15">
        <v>208</v>
      </c>
      <c r="J4" s="6">
        <v>550</v>
      </c>
      <c r="K4" s="6">
        <v>450</v>
      </c>
      <c r="L4" s="15">
        <v>369</v>
      </c>
      <c r="M4" s="15">
        <v>307</v>
      </c>
      <c r="N4" s="6" t="s">
        <v>72</v>
      </c>
    </row>
    <row r="5" spans="1:14" x14ac:dyDescent="0.35">
      <c r="A5" s="1">
        <v>2</v>
      </c>
      <c r="B5" s="1" t="s">
        <v>5</v>
      </c>
      <c r="C5" s="1" t="s">
        <v>6</v>
      </c>
      <c r="D5" s="1" t="s">
        <v>2</v>
      </c>
      <c r="E5" s="12" t="s">
        <v>32</v>
      </c>
      <c r="F5" s="13" t="s">
        <v>15</v>
      </c>
      <c r="G5" s="1"/>
      <c r="H5" s="13">
        <v>1600</v>
      </c>
      <c r="I5" s="15">
        <v>423</v>
      </c>
      <c r="J5">
        <v>1000</v>
      </c>
      <c r="N5" s="6" t="s">
        <v>73</v>
      </c>
    </row>
    <row r="6" spans="1:14" x14ac:dyDescent="0.35">
      <c r="A6" s="1">
        <v>3</v>
      </c>
      <c r="B6" s="1" t="s">
        <v>7</v>
      </c>
      <c r="C6" s="1" t="s">
        <v>8</v>
      </c>
      <c r="D6" s="1"/>
      <c r="E6" s="12" t="s">
        <v>31</v>
      </c>
      <c r="F6" s="13" t="s">
        <v>14</v>
      </c>
      <c r="G6" s="1"/>
      <c r="H6" s="13">
        <v>1600</v>
      </c>
      <c r="I6" s="17">
        <v>584</v>
      </c>
      <c r="J6" s="6">
        <v>1000</v>
      </c>
      <c r="N6" s="6" t="s">
        <v>74</v>
      </c>
    </row>
    <row r="7" spans="1:14" x14ac:dyDescent="0.35">
      <c r="A7" s="1">
        <v>4</v>
      </c>
      <c r="B7" s="1" t="s">
        <v>10</v>
      </c>
      <c r="C7" s="1" t="s">
        <v>16</v>
      </c>
      <c r="D7" s="1" t="s">
        <v>143</v>
      </c>
      <c r="E7" s="12" t="s">
        <v>30</v>
      </c>
      <c r="F7" s="13" t="s">
        <v>15</v>
      </c>
      <c r="G7" s="14"/>
      <c r="H7" s="13">
        <v>1600</v>
      </c>
      <c r="I7" s="15">
        <v>467</v>
      </c>
      <c r="J7" s="6">
        <v>550</v>
      </c>
      <c r="K7" s="6">
        <v>450</v>
      </c>
      <c r="L7" s="15">
        <v>195</v>
      </c>
      <c r="M7" s="15">
        <v>555</v>
      </c>
      <c r="N7" s="6" t="s">
        <v>75</v>
      </c>
    </row>
    <row r="8" spans="1:14" x14ac:dyDescent="0.35">
      <c r="A8" s="1">
        <v>5</v>
      </c>
      <c r="B8" s="1" t="s">
        <v>11</v>
      </c>
      <c r="C8" s="1" t="s">
        <v>12</v>
      </c>
      <c r="D8" s="1" t="s">
        <v>17</v>
      </c>
      <c r="E8" s="12" t="s">
        <v>29</v>
      </c>
      <c r="F8" s="13" t="s">
        <v>15</v>
      </c>
      <c r="G8" s="1"/>
      <c r="H8" s="13">
        <v>1600</v>
      </c>
      <c r="I8" s="15">
        <v>927</v>
      </c>
      <c r="J8" s="6">
        <v>550</v>
      </c>
      <c r="K8" s="6">
        <v>450</v>
      </c>
      <c r="L8" s="15">
        <v>170</v>
      </c>
      <c r="M8" s="15">
        <v>313</v>
      </c>
      <c r="N8" s="6" t="s">
        <v>76</v>
      </c>
    </row>
    <row r="9" spans="1:14" x14ac:dyDescent="0.35">
      <c r="A9" s="1">
        <v>6</v>
      </c>
      <c r="B9" s="1" t="s">
        <v>18</v>
      </c>
      <c r="C9" s="1" t="s">
        <v>19</v>
      </c>
      <c r="D9" s="1"/>
      <c r="E9" s="3"/>
      <c r="F9" s="13" t="s">
        <v>15</v>
      </c>
      <c r="G9" s="1"/>
      <c r="H9" s="13">
        <v>1600</v>
      </c>
      <c r="J9" s="6">
        <v>1000</v>
      </c>
      <c r="N9" s="6" t="s">
        <v>77</v>
      </c>
    </row>
    <row r="10" spans="1:14" x14ac:dyDescent="0.35">
      <c r="A10" s="1">
        <v>7</v>
      </c>
      <c r="B10" s="1" t="s">
        <v>21</v>
      </c>
      <c r="C10" s="1" t="s">
        <v>22</v>
      </c>
      <c r="D10" s="1" t="s">
        <v>38</v>
      </c>
      <c r="E10" s="12" t="s">
        <v>28</v>
      </c>
      <c r="F10" s="13" t="s">
        <v>15</v>
      </c>
      <c r="G10" s="13" t="s">
        <v>23</v>
      </c>
      <c r="H10" s="13">
        <v>1600</v>
      </c>
      <c r="I10" s="15">
        <v>66</v>
      </c>
      <c r="J10" s="35">
        <v>215</v>
      </c>
      <c r="K10" s="35">
        <v>785</v>
      </c>
      <c r="L10" s="15">
        <v>408</v>
      </c>
      <c r="M10" s="15">
        <v>442</v>
      </c>
      <c r="N10" s="6" t="s">
        <v>78</v>
      </c>
    </row>
    <row r="11" spans="1:14" x14ac:dyDescent="0.35">
      <c r="A11" s="1">
        <v>8</v>
      </c>
      <c r="B11" s="1" t="s">
        <v>24</v>
      </c>
      <c r="C11" s="1" t="s">
        <v>25</v>
      </c>
      <c r="D11" s="1" t="s">
        <v>39</v>
      </c>
      <c r="E11" s="12" t="s">
        <v>27</v>
      </c>
      <c r="F11" s="13" t="s">
        <v>15</v>
      </c>
      <c r="G11" s="1"/>
      <c r="H11" s="13">
        <v>1600</v>
      </c>
      <c r="I11" s="15">
        <v>837</v>
      </c>
      <c r="J11" s="6">
        <v>1000</v>
      </c>
      <c r="L11" s="15">
        <v>466</v>
      </c>
      <c r="N11" s="6" t="s">
        <v>79</v>
      </c>
    </row>
    <row r="12" spans="1:14" x14ac:dyDescent="0.35">
      <c r="A12" s="1">
        <v>9</v>
      </c>
      <c r="B12" s="1" t="s">
        <v>34</v>
      </c>
      <c r="C12" s="1" t="s">
        <v>35</v>
      </c>
      <c r="D12" s="1" t="s">
        <v>36</v>
      </c>
      <c r="E12" s="12" t="s">
        <v>37</v>
      </c>
      <c r="F12" s="13" t="s">
        <v>15</v>
      </c>
      <c r="G12" s="1"/>
      <c r="H12" s="13">
        <v>1600</v>
      </c>
      <c r="I12" s="15">
        <v>861</v>
      </c>
      <c r="J12" s="6">
        <v>1000</v>
      </c>
      <c r="L12" s="15">
        <v>668</v>
      </c>
      <c r="N12" s="6" t="s">
        <v>80</v>
      </c>
    </row>
    <row r="13" spans="1:14" x14ac:dyDescent="0.35">
      <c r="A13" s="1">
        <v>10</v>
      </c>
      <c r="B13" s="1" t="s">
        <v>40</v>
      </c>
      <c r="C13" s="1" t="s">
        <v>41</v>
      </c>
      <c r="D13" s="9" t="s">
        <v>43</v>
      </c>
      <c r="E13" s="12" t="s">
        <v>42</v>
      </c>
      <c r="F13" s="13" t="s">
        <v>15</v>
      </c>
      <c r="G13" s="1"/>
      <c r="H13" s="13">
        <v>1600</v>
      </c>
      <c r="I13" s="15">
        <v>771</v>
      </c>
      <c r="J13" s="6">
        <v>1000</v>
      </c>
      <c r="L13" s="15">
        <v>991</v>
      </c>
      <c r="N13" s="6" t="s">
        <v>81</v>
      </c>
    </row>
    <row r="14" spans="1:14" x14ac:dyDescent="0.35">
      <c r="A14" s="1">
        <v>11</v>
      </c>
      <c r="B14" s="1" t="s">
        <v>45</v>
      </c>
      <c r="C14" s="1" t="s">
        <v>46</v>
      </c>
      <c r="D14" s="1" t="s">
        <v>49</v>
      </c>
      <c r="E14" s="12" t="s">
        <v>48</v>
      </c>
      <c r="F14" s="13" t="s">
        <v>13</v>
      </c>
      <c r="G14" s="1"/>
      <c r="H14" s="13">
        <v>1600</v>
      </c>
      <c r="I14" s="15">
        <v>226</v>
      </c>
      <c r="J14" s="6">
        <v>1000</v>
      </c>
      <c r="L14" s="15">
        <v>134</v>
      </c>
      <c r="N14" s="6" t="s">
        <v>82</v>
      </c>
    </row>
    <row r="15" spans="1:14" x14ac:dyDescent="0.35">
      <c r="A15" s="1">
        <v>12</v>
      </c>
      <c r="B15" s="1" t="s">
        <v>50</v>
      </c>
      <c r="C15" s="1" t="s">
        <v>51</v>
      </c>
      <c r="D15" s="1"/>
      <c r="E15" s="12" t="s">
        <v>52</v>
      </c>
      <c r="F15" s="13" t="s">
        <v>15</v>
      </c>
      <c r="G15" s="13" t="s">
        <v>142</v>
      </c>
      <c r="H15" s="13">
        <v>1600</v>
      </c>
      <c r="I15" s="15">
        <v>898</v>
      </c>
      <c r="J15" s="6">
        <v>1000</v>
      </c>
      <c r="L15" s="15">
        <v>850</v>
      </c>
      <c r="N15" s="6" t="s">
        <v>83</v>
      </c>
    </row>
    <row r="16" spans="1:14" x14ac:dyDescent="0.35">
      <c r="A16" s="1">
        <v>13</v>
      </c>
      <c r="B16" s="1" t="s">
        <v>54</v>
      </c>
      <c r="C16" s="1" t="s">
        <v>55</v>
      </c>
      <c r="D16" s="1" t="s">
        <v>53</v>
      </c>
      <c r="E16" s="12" t="s">
        <v>56</v>
      </c>
      <c r="F16" s="13" t="s">
        <v>15</v>
      </c>
      <c r="G16" s="1"/>
      <c r="H16" s="13">
        <v>1600</v>
      </c>
      <c r="I16" s="15">
        <v>330</v>
      </c>
      <c r="J16" s="6">
        <v>1000</v>
      </c>
      <c r="L16" s="15">
        <v>628</v>
      </c>
      <c r="N16" s="6" t="s">
        <v>84</v>
      </c>
    </row>
    <row r="17" spans="1:15" x14ac:dyDescent="0.35">
      <c r="A17" s="1">
        <v>14</v>
      </c>
      <c r="B17" s="1" t="s">
        <v>57</v>
      </c>
      <c r="C17" s="1" t="s">
        <v>58</v>
      </c>
      <c r="D17" s="1" t="s">
        <v>61</v>
      </c>
      <c r="E17" s="12" t="s">
        <v>59</v>
      </c>
      <c r="F17" s="13" t="s">
        <v>15</v>
      </c>
      <c r="G17" s="1"/>
      <c r="H17" s="13">
        <v>1600</v>
      </c>
      <c r="I17" s="15">
        <v>571</v>
      </c>
      <c r="J17" s="6">
        <v>615</v>
      </c>
      <c r="L17" s="15">
        <v>837</v>
      </c>
      <c r="N17" s="6" t="s">
        <v>85</v>
      </c>
    </row>
    <row r="18" spans="1:15" x14ac:dyDescent="0.35">
      <c r="A18" s="1">
        <v>15</v>
      </c>
      <c r="B18" s="1" t="s">
        <v>62</v>
      </c>
      <c r="C18" s="1" t="s">
        <v>63</v>
      </c>
      <c r="D18" s="1" t="s">
        <v>66</v>
      </c>
      <c r="E18" s="12" t="s">
        <v>64</v>
      </c>
      <c r="F18" s="13" t="s">
        <v>15</v>
      </c>
      <c r="G18" s="13" t="s">
        <v>65</v>
      </c>
      <c r="H18" s="13">
        <v>1600</v>
      </c>
      <c r="I18" s="15">
        <v>70</v>
      </c>
      <c r="J18" s="6">
        <v>1000</v>
      </c>
      <c r="N18" s="6" t="s">
        <v>86</v>
      </c>
    </row>
    <row r="19" spans="1:15" x14ac:dyDescent="0.35">
      <c r="A19" s="1">
        <v>16</v>
      </c>
      <c r="B19" s="1" t="s">
        <v>144</v>
      </c>
      <c r="C19" s="1" t="s">
        <v>145</v>
      </c>
      <c r="D19" s="1" t="s">
        <v>148</v>
      </c>
      <c r="E19" s="12" t="s">
        <v>146</v>
      </c>
      <c r="F19" s="13" t="s">
        <v>15</v>
      </c>
      <c r="G19" s="13" t="s">
        <v>147</v>
      </c>
      <c r="H19" s="13">
        <v>1600</v>
      </c>
      <c r="I19" s="15">
        <v>668</v>
      </c>
      <c r="J19" s="6">
        <v>615</v>
      </c>
      <c r="L19" s="15">
        <v>299</v>
      </c>
      <c r="N19" s="16" t="s">
        <v>87</v>
      </c>
      <c r="O19" s="6" t="s">
        <v>151</v>
      </c>
    </row>
    <row r="20" spans="1:15" x14ac:dyDescent="0.35">
      <c r="A20" s="1">
        <v>17</v>
      </c>
      <c r="B20" s="9" t="s">
        <v>92</v>
      </c>
      <c r="C20" s="1"/>
      <c r="D20" s="1" t="s">
        <v>129</v>
      </c>
      <c r="E20" s="12" t="s">
        <v>149</v>
      </c>
      <c r="F20" s="13" t="s">
        <v>15</v>
      </c>
      <c r="G20" s="1"/>
      <c r="H20" s="13">
        <v>1600</v>
      </c>
      <c r="I20" s="15">
        <v>932</v>
      </c>
      <c r="J20" s="6">
        <v>1000</v>
      </c>
      <c r="N20" s="6" t="s">
        <v>88</v>
      </c>
    </row>
    <row r="21" spans="1:15" x14ac:dyDescent="0.35">
      <c r="A21" s="1">
        <v>18</v>
      </c>
      <c r="B21" s="9" t="s">
        <v>94</v>
      </c>
      <c r="C21" s="1" t="s">
        <v>104</v>
      </c>
      <c r="D21" s="1" t="s">
        <v>105</v>
      </c>
      <c r="E21" s="12" t="s">
        <v>95</v>
      </c>
      <c r="F21" s="13" t="s">
        <v>15</v>
      </c>
      <c r="G21" s="13" t="s">
        <v>106</v>
      </c>
      <c r="H21" s="13">
        <v>1600</v>
      </c>
      <c r="I21" s="15">
        <v>164</v>
      </c>
      <c r="J21" s="6">
        <v>1000</v>
      </c>
      <c r="L21" s="15">
        <v>365</v>
      </c>
      <c r="N21" s="6" t="s">
        <v>89</v>
      </c>
    </row>
    <row r="22" spans="1:15" x14ac:dyDescent="0.35">
      <c r="A22" s="1">
        <v>19</v>
      </c>
      <c r="B22" s="1" t="s">
        <v>97</v>
      </c>
      <c r="C22" s="1" t="s">
        <v>137</v>
      </c>
      <c r="D22" s="1" t="s">
        <v>136</v>
      </c>
      <c r="E22" s="12" t="s">
        <v>96</v>
      </c>
      <c r="F22" s="13" t="s">
        <v>15</v>
      </c>
      <c r="G22" s="1"/>
      <c r="H22" s="13">
        <v>1600</v>
      </c>
      <c r="I22" s="15">
        <v>284</v>
      </c>
      <c r="J22" s="6">
        <v>1000</v>
      </c>
      <c r="N22" s="6" t="s">
        <v>90</v>
      </c>
    </row>
    <row r="23" spans="1:15" x14ac:dyDescent="0.35">
      <c r="A23" s="1">
        <v>20</v>
      </c>
      <c r="B23" s="9" t="s">
        <v>98</v>
      </c>
      <c r="C23" s="1" t="s">
        <v>125</v>
      </c>
      <c r="D23" s="1" t="s">
        <v>127</v>
      </c>
      <c r="E23" s="12" t="s">
        <v>99</v>
      </c>
      <c r="F23" s="13" t="s">
        <v>15</v>
      </c>
      <c r="G23" s="13" t="s">
        <v>126</v>
      </c>
      <c r="H23" s="13">
        <v>1600</v>
      </c>
      <c r="I23" s="15">
        <v>825</v>
      </c>
      <c r="J23" s="6">
        <v>1000</v>
      </c>
      <c r="N23" s="6" t="s">
        <v>91</v>
      </c>
    </row>
    <row r="24" spans="1:15" x14ac:dyDescent="0.35">
      <c r="A24" s="52">
        <v>21</v>
      </c>
      <c r="B24" s="53" t="s">
        <v>100</v>
      </c>
      <c r="C24" s="52" t="s">
        <v>131</v>
      </c>
      <c r="D24" s="1" t="s">
        <v>132</v>
      </c>
      <c r="E24" s="3" t="s">
        <v>101</v>
      </c>
      <c r="F24" s="52"/>
      <c r="G24" s="52"/>
      <c r="H24" s="56">
        <v>1600</v>
      </c>
      <c r="J24" s="55">
        <v>1000</v>
      </c>
    </row>
    <row r="25" spans="1:15" x14ac:dyDescent="0.35">
      <c r="A25" s="52"/>
      <c r="B25" s="53"/>
      <c r="C25" s="52"/>
      <c r="D25" s="1" t="s">
        <v>133</v>
      </c>
      <c r="E25" s="3" t="s">
        <v>134</v>
      </c>
      <c r="F25" s="52"/>
      <c r="G25" s="52"/>
      <c r="H25" s="56"/>
      <c r="J25" s="55"/>
    </row>
    <row r="26" spans="1:15" x14ac:dyDescent="0.35">
      <c r="B26" s="8" t="s">
        <v>60</v>
      </c>
      <c r="E26" s="5"/>
      <c r="H26" s="8">
        <f>SUM(H4:H25)</f>
        <v>33600</v>
      </c>
      <c r="L26">
        <v>32222.51</v>
      </c>
      <c r="M26">
        <f>H26-L26</f>
        <v>1377.4900000000016</v>
      </c>
    </row>
    <row r="27" spans="1:15" x14ac:dyDescent="0.35">
      <c r="E27" s="5"/>
      <c r="J27" s="6">
        <v>-6000</v>
      </c>
    </row>
    <row r="28" spans="1:15" x14ac:dyDescent="0.35">
      <c r="B28" s="10" t="s">
        <v>102</v>
      </c>
      <c r="E28" s="5"/>
      <c r="H28">
        <f>1600*21</f>
        <v>33600</v>
      </c>
      <c r="J28" s="6">
        <v>2368</v>
      </c>
    </row>
    <row r="29" spans="1:15" x14ac:dyDescent="0.35">
      <c r="B29" s="10" t="s">
        <v>103</v>
      </c>
      <c r="E29" s="5"/>
      <c r="G29" t="s">
        <v>152</v>
      </c>
      <c r="H29">
        <v>-30600</v>
      </c>
    </row>
    <row r="30" spans="1:15" x14ac:dyDescent="0.35">
      <c r="B30" s="18" t="s">
        <v>108</v>
      </c>
      <c r="E30" s="5"/>
      <c r="G30" t="s">
        <v>153</v>
      </c>
      <c r="H30">
        <v>-632</v>
      </c>
    </row>
    <row r="31" spans="1:15" x14ac:dyDescent="0.35">
      <c r="B31" s="10" t="s">
        <v>107</v>
      </c>
      <c r="E31" s="5"/>
      <c r="G31" t="s">
        <v>60</v>
      </c>
      <c r="H31">
        <f>SUM(H28:H30)</f>
        <v>2368</v>
      </c>
    </row>
    <row r="32" spans="1:15" x14ac:dyDescent="0.35">
      <c r="B32" s="10" t="s">
        <v>109</v>
      </c>
      <c r="E32" s="5"/>
    </row>
    <row r="33" spans="2:14" x14ac:dyDescent="0.35">
      <c r="B33" s="10" t="s">
        <v>110</v>
      </c>
      <c r="E33" s="5"/>
    </row>
    <row r="34" spans="2:14" x14ac:dyDescent="0.35">
      <c r="B34" s="11" t="s">
        <v>111</v>
      </c>
      <c r="E34" s="5"/>
    </row>
    <row r="35" spans="2:14" x14ac:dyDescent="0.35">
      <c r="B35" s="10" t="s">
        <v>112</v>
      </c>
      <c r="E35" s="5"/>
    </row>
    <row r="36" spans="2:14" x14ac:dyDescent="0.35">
      <c r="B36" s="10" t="s">
        <v>113</v>
      </c>
      <c r="E36" s="5"/>
    </row>
    <row r="37" spans="2:14" x14ac:dyDescent="0.35">
      <c r="B37" s="10" t="s">
        <v>114</v>
      </c>
      <c r="E37" s="5"/>
      <c r="K37">
        <v>550</v>
      </c>
      <c r="M37">
        <v>1000</v>
      </c>
    </row>
    <row r="38" spans="2:14" x14ac:dyDescent="0.35">
      <c r="B38" s="10" t="s">
        <v>115</v>
      </c>
      <c r="E38" s="5"/>
      <c r="K38">
        <v>1000</v>
      </c>
      <c r="M38">
        <v>550</v>
      </c>
    </row>
    <row r="39" spans="2:14" x14ac:dyDescent="0.35">
      <c r="B39" s="10" t="s">
        <v>116</v>
      </c>
      <c r="E39" s="5"/>
      <c r="K39">
        <v>550</v>
      </c>
      <c r="M39">
        <v>1000</v>
      </c>
    </row>
    <row r="40" spans="2:14" x14ac:dyDescent="0.35">
      <c r="B40" s="10" t="s">
        <v>117</v>
      </c>
      <c r="E40" s="5"/>
      <c r="K40">
        <v>550</v>
      </c>
      <c r="M40">
        <v>550</v>
      </c>
    </row>
    <row r="41" spans="2:14" x14ac:dyDescent="0.35">
      <c r="B41" s="10" t="s">
        <v>118</v>
      </c>
      <c r="E41" s="5"/>
      <c r="K41">
        <v>215</v>
      </c>
      <c r="M41">
        <v>550</v>
      </c>
    </row>
    <row r="42" spans="2:14" x14ac:dyDescent="0.35">
      <c r="B42" s="10" t="s">
        <v>119</v>
      </c>
      <c r="E42" s="5"/>
      <c r="K42">
        <v>450</v>
      </c>
      <c r="M42">
        <v>215</v>
      </c>
    </row>
    <row r="43" spans="2:14" x14ac:dyDescent="0.35">
      <c r="B43" s="10" t="s">
        <v>120</v>
      </c>
      <c r="E43" s="5"/>
      <c r="K43">
        <v>450</v>
      </c>
      <c r="M43">
        <v>450</v>
      </c>
    </row>
    <row r="44" spans="2:14" x14ac:dyDescent="0.35">
      <c r="B44" s="10" t="s">
        <v>121</v>
      </c>
      <c r="E44" s="5"/>
      <c r="K44">
        <v>785</v>
      </c>
      <c r="M44">
        <v>450</v>
      </c>
    </row>
    <row r="45" spans="2:14" x14ac:dyDescent="0.35">
      <c r="B45" s="11" t="s">
        <v>122</v>
      </c>
      <c r="E45" s="5"/>
      <c r="K45">
        <v>615</v>
      </c>
      <c r="M45">
        <v>785</v>
      </c>
    </row>
    <row r="46" spans="2:14" x14ac:dyDescent="0.35">
      <c r="B46" s="10" t="s">
        <v>123</v>
      </c>
      <c r="E46" s="5"/>
      <c r="K46">
        <v>1000</v>
      </c>
      <c r="M46">
        <v>615</v>
      </c>
      <c r="N46" s="7"/>
    </row>
    <row r="47" spans="2:14" x14ac:dyDescent="0.35">
      <c r="B47" s="10" t="s">
        <v>124</v>
      </c>
      <c r="E47" s="5"/>
      <c r="K47">
        <v>450</v>
      </c>
      <c r="M47">
        <v>1000</v>
      </c>
    </row>
    <row r="48" spans="2:14" x14ac:dyDescent="0.35">
      <c r="B48" s="10" t="s">
        <v>128</v>
      </c>
      <c r="E48" s="5"/>
      <c r="K48">
        <v>1000</v>
      </c>
      <c r="M48">
        <v>450</v>
      </c>
      <c r="N48">
        <f>7615-14809</f>
        <v>-7194</v>
      </c>
    </row>
    <row r="49" spans="1:14" x14ac:dyDescent="0.35">
      <c r="B49" s="10" t="s">
        <v>150</v>
      </c>
      <c r="E49" s="5"/>
      <c r="K49">
        <v>1000</v>
      </c>
      <c r="M49">
        <v>1000</v>
      </c>
    </row>
    <row r="50" spans="1:14" x14ac:dyDescent="0.35">
      <c r="E50" s="5"/>
      <c r="K50">
        <v>1000</v>
      </c>
      <c r="M50">
        <v>1000</v>
      </c>
    </row>
    <row r="51" spans="1:14" ht="15" thickBot="1" x14ac:dyDescent="0.4">
      <c r="E51" s="5"/>
      <c r="K51">
        <v>1000</v>
      </c>
      <c r="M51">
        <v>1000</v>
      </c>
      <c r="N51">
        <f>14030-13230</f>
        <v>800</v>
      </c>
    </row>
    <row r="52" spans="1:14" ht="15" thickBot="1" x14ac:dyDescent="0.4">
      <c r="E52" s="28" t="s">
        <v>154</v>
      </c>
      <c r="F52" s="29" t="s">
        <v>166</v>
      </c>
      <c r="G52" s="30" t="s">
        <v>155</v>
      </c>
      <c r="H52" s="29" t="s">
        <v>166</v>
      </c>
      <c r="K52">
        <v>800</v>
      </c>
      <c r="M52">
        <v>1000</v>
      </c>
    </row>
    <row r="53" spans="1:14" x14ac:dyDescent="0.35">
      <c r="E53" s="19" t="s">
        <v>156</v>
      </c>
      <c r="F53" s="20">
        <v>2700</v>
      </c>
      <c r="G53" t="s">
        <v>156</v>
      </c>
      <c r="H53" s="20">
        <v>2700</v>
      </c>
      <c r="K53">
        <v>1000</v>
      </c>
    </row>
    <row r="54" spans="1:14" x14ac:dyDescent="0.35">
      <c r="E54" s="19" t="s">
        <v>157</v>
      </c>
      <c r="F54" s="20">
        <f>120*30</f>
        <v>3600</v>
      </c>
      <c r="G54" t="s">
        <v>159</v>
      </c>
      <c r="H54" s="20">
        <v>300</v>
      </c>
      <c r="K54">
        <v>615</v>
      </c>
      <c r="M54">
        <v>1000</v>
      </c>
    </row>
    <row r="55" spans="1:14" ht="29" x14ac:dyDescent="0.35">
      <c r="E55" s="19" t="s">
        <v>158</v>
      </c>
      <c r="F55" s="20">
        <v>300</v>
      </c>
      <c r="G55" s="21" t="s">
        <v>160</v>
      </c>
      <c r="H55" s="20">
        <v>800</v>
      </c>
      <c r="K55">
        <v>1000</v>
      </c>
      <c r="M55">
        <v>615</v>
      </c>
    </row>
    <row r="56" spans="1:14" x14ac:dyDescent="0.35">
      <c r="E56" s="19" t="s">
        <v>161</v>
      </c>
      <c r="F56" s="20">
        <v>250</v>
      </c>
      <c r="G56" t="s">
        <v>161</v>
      </c>
      <c r="H56" s="20">
        <v>250</v>
      </c>
      <c r="K56">
        <v>-800</v>
      </c>
      <c r="M56">
        <v>1000</v>
      </c>
    </row>
    <row r="57" spans="1:14" ht="58" x14ac:dyDescent="0.35">
      <c r="E57" s="22" t="s">
        <v>164</v>
      </c>
      <c r="F57" s="20">
        <f>SUM(F53:F56)-2368</f>
        <v>4482</v>
      </c>
      <c r="G57" s="23" t="s">
        <v>164</v>
      </c>
      <c r="H57" s="20">
        <f>SUM(H53:H56)-2368</f>
        <v>1682</v>
      </c>
      <c r="K57">
        <v>1000</v>
      </c>
    </row>
    <row r="58" spans="1:14" x14ac:dyDescent="0.35">
      <c r="E58" s="19" t="s">
        <v>167</v>
      </c>
      <c r="F58" s="20">
        <f>400*21</f>
        <v>8400</v>
      </c>
      <c r="H58" s="20"/>
      <c r="K58">
        <v>2368</v>
      </c>
    </row>
    <row r="59" spans="1:14" x14ac:dyDescent="0.35">
      <c r="B59">
        <v>53</v>
      </c>
      <c r="C59" s="34">
        <f>D59-F59</f>
        <v>53.238095238095298</v>
      </c>
      <c r="D59">
        <v>1000</v>
      </c>
      <c r="E59" s="31" t="s">
        <v>162</v>
      </c>
      <c r="F59" s="32">
        <f>SUM(F60:F61)+F58/21</f>
        <v>946.7619047619047</v>
      </c>
      <c r="G59" s="33" t="s">
        <v>162</v>
      </c>
      <c r="H59" s="32">
        <f>SUM(H60:H61)</f>
        <v>413.42857142857144</v>
      </c>
      <c r="K59">
        <v>1000</v>
      </c>
    </row>
    <row r="60" spans="1:14" x14ac:dyDescent="0.35">
      <c r="A60">
        <v>53</v>
      </c>
      <c r="B60">
        <v>2</v>
      </c>
      <c r="C60" s="34">
        <f>D60-F60</f>
        <v>452.57142857142856</v>
      </c>
      <c r="D60">
        <v>666</v>
      </c>
      <c r="E60" s="19" t="s">
        <v>163</v>
      </c>
      <c r="F60" s="24">
        <f>F57/21</f>
        <v>213.42857142857142</v>
      </c>
      <c r="G60" s="5" t="s">
        <v>163</v>
      </c>
      <c r="H60" s="24">
        <f>H57/21</f>
        <v>80.095238095238102</v>
      </c>
      <c r="K60">
        <v>-6000</v>
      </c>
    </row>
    <row r="61" spans="1:14" ht="44" thickBot="1" x14ac:dyDescent="0.4">
      <c r="E61" s="25" t="s">
        <v>165</v>
      </c>
      <c r="F61" s="27">
        <f>6000/18</f>
        <v>333.33333333333331</v>
      </c>
      <c r="G61" s="26" t="s">
        <v>165</v>
      </c>
      <c r="H61" s="27">
        <f>6000/18</f>
        <v>333.33333333333331</v>
      </c>
      <c r="K61">
        <v>1000</v>
      </c>
    </row>
    <row r="62" spans="1:14" x14ac:dyDescent="0.35">
      <c r="E62" s="5"/>
      <c r="K62">
        <v>1000</v>
      </c>
    </row>
    <row r="63" spans="1:14" x14ac:dyDescent="0.35">
      <c r="E63" s="5"/>
      <c r="K63">
        <v>1000</v>
      </c>
    </row>
    <row r="64" spans="1:14" x14ac:dyDescent="0.35">
      <c r="E64" s="3" t="s">
        <v>156</v>
      </c>
      <c r="F64" s="40">
        <v>2700</v>
      </c>
      <c r="G64" s="54" t="s">
        <v>176</v>
      </c>
      <c r="K64">
        <v>1000</v>
      </c>
    </row>
    <row r="65" spans="5:14" x14ac:dyDescent="0.35">
      <c r="E65" s="3" t="s">
        <v>157</v>
      </c>
      <c r="F65" s="40">
        <f>120*30</f>
        <v>3600</v>
      </c>
      <c r="G65" s="54"/>
      <c r="K65">
        <v>1000</v>
      </c>
    </row>
    <row r="66" spans="5:14" x14ac:dyDescent="0.35">
      <c r="E66" s="3" t="s">
        <v>158</v>
      </c>
      <c r="F66" s="40">
        <v>274</v>
      </c>
      <c r="G66" s="54"/>
      <c r="J66">
        <f>SUM(K37:K65)</f>
        <v>16598</v>
      </c>
    </row>
    <row r="67" spans="5:14" x14ac:dyDescent="0.35">
      <c r="E67" s="3" t="s">
        <v>161</v>
      </c>
      <c r="F67" s="40">
        <v>250</v>
      </c>
      <c r="G67" s="54"/>
    </row>
    <row r="68" spans="5:14" ht="43.5" x14ac:dyDescent="0.35">
      <c r="E68" s="36" t="s">
        <v>170</v>
      </c>
      <c r="F68" s="37">
        <f>SUM(F64:F67)-2368/21*18</f>
        <v>4794.2857142857138</v>
      </c>
    </row>
    <row r="69" spans="5:14" ht="29" x14ac:dyDescent="0.35">
      <c r="E69" s="3" t="s">
        <v>173</v>
      </c>
      <c r="F69" s="41">
        <f>400*18</f>
        <v>7200</v>
      </c>
      <c r="G69" s="21" t="s">
        <v>177</v>
      </c>
    </row>
    <row r="70" spans="5:14" x14ac:dyDescent="0.35">
      <c r="E70" s="38" t="s">
        <v>162</v>
      </c>
      <c r="F70" s="39">
        <f>SUM(F71:F72)+F69/18</f>
        <v>999.68253968253964</v>
      </c>
      <c r="I70" t="s">
        <v>174</v>
      </c>
      <c r="J70" s="42">
        <f>665+615*2</f>
        <v>1895</v>
      </c>
      <c r="K70" s="42">
        <v>335</v>
      </c>
      <c r="L70" t="s">
        <v>138</v>
      </c>
    </row>
    <row r="71" spans="5:14" x14ac:dyDescent="0.35">
      <c r="E71" s="3" t="s">
        <v>163</v>
      </c>
      <c r="F71" s="37">
        <f>F68/18</f>
        <v>266.34920634920633</v>
      </c>
      <c r="J71" s="42">
        <f>1000*15</f>
        <v>15000</v>
      </c>
      <c r="K71" s="42">
        <f>3000-333*3</f>
        <v>2001</v>
      </c>
      <c r="L71" t="s">
        <v>168</v>
      </c>
      <c r="N71">
        <f>SUM(K71:K72)/3</f>
        <v>779.7619047619047</v>
      </c>
    </row>
    <row r="72" spans="5:14" ht="43.5" x14ac:dyDescent="0.35">
      <c r="E72" s="36" t="s">
        <v>165</v>
      </c>
      <c r="F72" s="37">
        <f>6000/18</f>
        <v>333.33333333333331</v>
      </c>
      <c r="G72" s="21" t="s">
        <v>178</v>
      </c>
      <c r="J72" s="43">
        <f>2368/21*18</f>
        <v>2029.7142857142858</v>
      </c>
      <c r="K72" s="43">
        <f>2368-J72</f>
        <v>338.28571428571422</v>
      </c>
      <c r="L72" t="s">
        <v>171</v>
      </c>
    </row>
    <row r="73" spans="5:14" x14ac:dyDescent="0.35">
      <c r="J73" s="42">
        <f>333*3</f>
        <v>999</v>
      </c>
      <c r="K73" s="42"/>
      <c r="L73" t="s">
        <v>169</v>
      </c>
    </row>
    <row r="74" spans="5:14" x14ac:dyDescent="0.35">
      <c r="F74">
        <v>615</v>
      </c>
      <c r="G74" t="s">
        <v>175</v>
      </c>
      <c r="I74" t="s">
        <v>183</v>
      </c>
      <c r="J74" s="42">
        <v>-6000</v>
      </c>
      <c r="K74" s="42"/>
    </row>
    <row r="75" spans="5:14" x14ac:dyDescent="0.35">
      <c r="F75" s="34">
        <f>F74-F71</f>
        <v>348.65079365079367</v>
      </c>
      <c r="I75" t="s">
        <v>184</v>
      </c>
      <c r="J75" s="42">
        <v>-7200</v>
      </c>
      <c r="K75" s="42"/>
    </row>
    <row r="76" spans="5:14" x14ac:dyDescent="0.35">
      <c r="J76" s="44">
        <f>SUM(J70:K75)</f>
        <v>9398</v>
      </c>
      <c r="K76" s="42">
        <v>-335</v>
      </c>
      <c r="L76" t="s">
        <v>138</v>
      </c>
    </row>
    <row r="77" spans="5:14" x14ac:dyDescent="0.35">
      <c r="L77" t="s">
        <v>5</v>
      </c>
      <c r="M77" t="s">
        <v>179</v>
      </c>
    </row>
    <row r="78" spans="5:14" x14ac:dyDescent="0.35">
      <c r="K78" s="42">
        <v>-780</v>
      </c>
      <c r="L78" t="s">
        <v>172</v>
      </c>
    </row>
    <row r="79" spans="5:14" x14ac:dyDescent="0.35">
      <c r="K79" s="42">
        <v>-780</v>
      </c>
      <c r="L79" t="s">
        <v>18</v>
      </c>
    </row>
    <row r="80" spans="5:14" x14ac:dyDescent="0.35">
      <c r="K80" s="42">
        <v>-130</v>
      </c>
      <c r="L80" t="s">
        <v>181</v>
      </c>
    </row>
    <row r="81" spans="9:14" x14ac:dyDescent="0.35">
      <c r="K81" s="42">
        <v>-430</v>
      </c>
    </row>
    <row r="82" spans="9:14" x14ac:dyDescent="0.35">
      <c r="K82" s="42">
        <v>-2400</v>
      </c>
    </row>
    <row r="83" spans="9:14" x14ac:dyDescent="0.35">
      <c r="K83" s="42">
        <v>-209</v>
      </c>
    </row>
    <row r="84" spans="9:14" x14ac:dyDescent="0.35">
      <c r="K84" s="42">
        <v>-674</v>
      </c>
    </row>
    <row r="85" spans="9:14" x14ac:dyDescent="0.35">
      <c r="I85" t="s">
        <v>180</v>
      </c>
      <c r="N85">
        <f>J86-1496.85</f>
        <v>2163.15</v>
      </c>
    </row>
    <row r="86" spans="9:14" x14ac:dyDescent="0.35">
      <c r="J86" s="45">
        <f>SUM(J76:K84)</f>
        <v>3660</v>
      </c>
    </row>
    <row r="88" spans="9:14" x14ac:dyDescent="0.35">
      <c r="J88" t="s">
        <v>182</v>
      </c>
    </row>
  </sheetData>
  <mergeCells count="10">
    <mergeCell ref="G64:G67"/>
    <mergeCell ref="J24:J25"/>
    <mergeCell ref="H24:H25"/>
    <mergeCell ref="B3:C3"/>
    <mergeCell ref="F3:G3"/>
    <mergeCell ref="A24:A25"/>
    <mergeCell ref="B24:B25"/>
    <mergeCell ref="C24:C25"/>
    <mergeCell ref="F24:F25"/>
    <mergeCell ref="G24:G25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B337A-9D44-44A9-86CA-13FDF4C616E1}">
  <dimension ref="A3:M69"/>
  <sheetViews>
    <sheetView topLeftCell="A19" zoomScaleNormal="100" workbookViewId="0">
      <selection activeCell="L29" sqref="L29"/>
    </sheetView>
  </sheetViews>
  <sheetFormatPr defaultRowHeight="14.5" x14ac:dyDescent="0.35"/>
  <cols>
    <col min="1" max="1" width="2.81640625" bestFit="1" customWidth="1"/>
    <col min="3" max="3" width="13.54296875" bestFit="1" customWidth="1"/>
    <col min="4" max="4" width="11.08984375" bestFit="1" customWidth="1"/>
    <col min="5" max="5" width="15.1796875" bestFit="1" customWidth="1"/>
    <col min="6" max="6" width="16.36328125" bestFit="1" customWidth="1"/>
    <col min="7" max="7" width="17.36328125" bestFit="1" customWidth="1"/>
    <col min="9" max="9" width="9.81640625" bestFit="1" customWidth="1"/>
    <col min="13" max="13" width="23.26953125" bestFit="1" customWidth="1"/>
  </cols>
  <sheetData>
    <row r="3" spans="1:13" x14ac:dyDescent="0.35">
      <c r="A3" s="1"/>
      <c r="B3" s="50" t="s">
        <v>1</v>
      </c>
      <c r="C3" s="50"/>
      <c r="D3" s="2" t="s">
        <v>44</v>
      </c>
      <c r="E3" s="2" t="s">
        <v>26</v>
      </c>
      <c r="F3" s="51" t="s">
        <v>20</v>
      </c>
      <c r="G3" s="51"/>
      <c r="H3" s="1" t="s">
        <v>135</v>
      </c>
      <c r="M3" s="6" t="s">
        <v>71</v>
      </c>
    </row>
    <row r="4" spans="1:13" x14ac:dyDescent="0.35">
      <c r="A4" s="1">
        <v>1</v>
      </c>
      <c r="B4" s="1" t="s">
        <v>3</v>
      </c>
      <c r="C4" s="1" t="s">
        <v>4</v>
      </c>
      <c r="D4" s="1" t="s">
        <v>0</v>
      </c>
      <c r="E4" s="4" t="s">
        <v>33</v>
      </c>
      <c r="F4" s="1" t="s">
        <v>15</v>
      </c>
      <c r="G4" s="1"/>
      <c r="H4" s="1">
        <v>1800</v>
      </c>
      <c r="M4" s="6" t="s">
        <v>72</v>
      </c>
    </row>
    <row r="5" spans="1:13" x14ac:dyDescent="0.35">
      <c r="A5" s="1">
        <v>2</v>
      </c>
      <c r="B5" s="1" t="s">
        <v>5</v>
      </c>
      <c r="C5" s="1" t="s">
        <v>6</v>
      </c>
      <c r="D5" s="1" t="s">
        <v>2</v>
      </c>
      <c r="E5" s="4" t="s">
        <v>32</v>
      </c>
      <c r="F5" s="1" t="s">
        <v>15</v>
      </c>
      <c r="G5" s="1"/>
      <c r="H5" s="1">
        <v>1800</v>
      </c>
      <c r="M5" s="6" t="s">
        <v>73</v>
      </c>
    </row>
    <row r="6" spans="1:13" x14ac:dyDescent="0.35">
      <c r="A6" s="1">
        <v>3</v>
      </c>
      <c r="B6" s="1" t="s">
        <v>7</v>
      </c>
      <c r="C6" s="1" t="s">
        <v>8</v>
      </c>
      <c r="D6" s="1"/>
      <c r="E6" s="3" t="s">
        <v>31</v>
      </c>
      <c r="F6" s="1" t="s">
        <v>14</v>
      </c>
      <c r="G6" s="1"/>
      <c r="H6" s="1">
        <v>1800</v>
      </c>
      <c r="M6" s="6" t="s">
        <v>74</v>
      </c>
    </row>
    <row r="7" spans="1:13" x14ac:dyDescent="0.35">
      <c r="A7" s="1">
        <v>4</v>
      </c>
      <c r="B7" s="1" t="s">
        <v>10</v>
      </c>
      <c r="C7" s="1" t="s">
        <v>16</v>
      </c>
      <c r="D7" s="1" t="s">
        <v>9</v>
      </c>
      <c r="E7" s="3" t="s">
        <v>30</v>
      </c>
      <c r="F7" s="1" t="s">
        <v>13</v>
      </c>
      <c r="G7" s="1"/>
      <c r="H7" s="1">
        <v>1800</v>
      </c>
      <c r="M7" s="6" t="s">
        <v>75</v>
      </c>
    </row>
    <row r="8" spans="1:13" x14ac:dyDescent="0.35">
      <c r="A8" s="1">
        <v>5</v>
      </c>
      <c r="B8" s="1" t="s">
        <v>11</v>
      </c>
      <c r="C8" s="1" t="s">
        <v>12</v>
      </c>
      <c r="D8" s="1" t="s">
        <v>17</v>
      </c>
      <c r="E8" s="4" t="s">
        <v>29</v>
      </c>
      <c r="F8" s="1" t="s">
        <v>15</v>
      </c>
      <c r="G8" s="1"/>
      <c r="H8" s="1">
        <v>1800</v>
      </c>
      <c r="M8" s="6" t="s">
        <v>76</v>
      </c>
    </row>
    <row r="9" spans="1:13" x14ac:dyDescent="0.35">
      <c r="A9" s="1">
        <v>6</v>
      </c>
      <c r="B9" s="1" t="s">
        <v>18</v>
      </c>
      <c r="C9" s="1" t="s">
        <v>19</v>
      </c>
      <c r="D9" s="1"/>
      <c r="E9" s="3"/>
      <c r="F9" s="1" t="s">
        <v>15</v>
      </c>
      <c r="G9" s="1"/>
      <c r="H9" s="1">
        <v>1800</v>
      </c>
      <c r="M9" s="6" t="s">
        <v>77</v>
      </c>
    </row>
    <row r="10" spans="1:13" x14ac:dyDescent="0.35">
      <c r="A10" s="1">
        <v>7</v>
      </c>
      <c r="B10" s="1" t="s">
        <v>21</v>
      </c>
      <c r="C10" s="1" t="s">
        <v>22</v>
      </c>
      <c r="D10" s="1" t="s">
        <v>38</v>
      </c>
      <c r="E10" s="4" t="s">
        <v>28</v>
      </c>
      <c r="F10" s="1" t="s">
        <v>15</v>
      </c>
      <c r="G10" s="1" t="s">
        <v>23</v>
      </c>
      <c r="H10" s="1">
        <v>1800</v>
      </c>
      <c r="M10" s="6" t="s">
        <v>78</v>
      </c>
    </row>
    <row r="11" spans="1:13" x14ac:dyDescent="0.35">
      <c r="A11" s="1">
        <v>8</v>
      </c>
      <c r="B11" s="1" t="s">
        <v>24</v>
      </c>
      <c r="C11" s="1" t="s">
        <v>25</v>
      </c>
      <c r="D11" s="1" t="s">
        <v>39</v>
      </c>
      <c r="E11" s="4" t="s">
        <v>27</v>
      </c>
      <c r="F11" s="1" t="s">
        <v>15</v>
      </c>
      <c r="G11" s="1"/>
      <c r="H11" s="1">
        <v>1800</v>
      </c>
      <c r="M11" s="6" t="s">
        <v>79</v>
      </c>
    </row>
    <row r="12" spans="1:13" x14ac:dyDescent="0.35">
      <c r="A12" s="1">
        <v>9</v>
      </c>
      <c r="B12" s="1" t="s">
        <v>34</v>
      </c>
      <c r="C12" s="1" t="s">
        <v>35</v>
      </c>
      <c r="D12" s="1" t="s">
        <v>36</v>
      </c>
      <c r="E12" s="4" t="s">
        <v>37</v>
      </c>
      <c r="F12" s="1" t="s">
        <v>15</v>
      </c>
      <c r="G12" s="1"/>
      <c r="H12" s="1">
        <v>1800</v>
      </c>
      <c r="M12" s="7" t="s">
        <v>80</v>
      </c>
    </row>
    <row r="13" spans="1:13" x14ac:dyDescent="0.35">
      <c r="A13" s="1">
        <v>10</v>
      </c>
      <c r="B13" s="1" t="s">
        <v>40</v>
      </c>
      <c r="C13" s="1" t="s">
        <v>41</v>
      </c>
      <c r="D13" s="1" t="s">
        <v>43</v>
      </c>
      <c r="E13" s="4" t="s">
        <v>42</v>
      </c>
      <c r="F13" s="1" t="s">
        <v>15</v>
      </c>
      <c r="G13" s="1"/>
      <c r="H13" s="1">
        <v>1800</v>
      </c>
      <c r="M13" s="6" t="s">
        <v>81</v>
      </c>
    </row>
    <row r="14" spans="1:13" x14ac:dyDescent="0.35">
      <c r="A14" s="1">
        <v>11</v>
      </c>
      <c r="B14" s="1" t="s">
        <v>45</v>
      </c>
      <c r="C14" s="1" t="s">
        <v>46</v>
      </c>
      <c r="D14" s="1" t="s">
        <v>49</v>
      </c>
      <c r="E14" s="4" t="s">
        <v>48</v>
      </c>
      <c r="F14" s="1" t="s">
        <v>15</v>
      </c>
      <c r="G14" s="1" t="s">
        <v>47</v>
      </c>
      <c r="H14" s="1">
        <v>1800</v>
      </c>
      <c r="M14" s="7" t="s">
        <v>82</v>
      </c>
    </row>
    <row r="15" spans="1:13" x14ac:dyDescent="0.35">
      <c r="A15" s="1">
        <v>12</v>
      </c>
      <c r="B15" s="1" t="s">
        <v>50</v>
      </c>
      <c r="C15" s="1" t="s">
        <v>51</v>
      </c>
      <c r="D15" s="1"/>
      <c r="E15" s="3" t="s">
        <v>52</v>
      </c>
      <c r="F15" s="1" t="s">
        <v>13</v>
      </c>
      <c r="G15" s="1"/>
      <c r="H15" s="1">
        <v>1800</v>
      </c>
      <c r="M15" s="6" t="s">
        <v>83</v>
      </c>
    </row>
    <row r="16" spans="1:13" x14ac:dyDescent="0.35">
      <c r="A16" s="1">
        <v>13</v>
      </c>
      <c r="B16" s="1" t="s">
        <v>54</v>
      </c>
      <c r="C16" s="1" t="s">
        <v>55</v>
      </c>
      <c r="D16" s="1" t="s">
        <v>53</v>
      </c>
      <c r="E16" s="3" t="s">
        <v>56</v>
      </c>
      <c r="F16" s="1" t="s">
        <v>15</v>
      </c>
      <c r="G16" s="1"/>
      <c r="H16" s="1">
        <v>1800</v>
      </c>
      <c r="M16" s="6" t="s">
        <v>84</v>
      </c>
    </row>
    <row r="17" spans="1:13" x14ac:dyDescent="0.35">
      <c r="A17" s="1">
        <v>14</v>
      </c>
      <c r="B17" s="1" t="s">
        <v>57</v>
      </c>
      <c r="C17" s="1" t="s">
        <v>58</v>
      </c>
      <c r="D17" s="1" t="s">
        <v>61</v>
      </c>
      <c r="E17" s="3" t="s">
        <v>59</v>
      </c>
      <c r="F17" s="1" t="s">
        <v>13</v>
      </c>
      <c r="G17" s="1"/>
      <c r="H17" s="1">
        <v>1800</v>
      </c>
      <c r="M17" s="6" t="s">
        <v>85</v>
      </c>
    </row>
    <row r="18" spans="1:13" x14ac:dyDescent="0.35">
      <c r="A18" s="1">
        <v>15</v>
      </c>
      <c r="B18" s="1" t="s">
        <v>62</v>
      </c>
      <c r="C18" s="1" t="s">
        <v>63</v>
      </c>
      <c r="D18" s="1" t="s">
        <v>66</v>
      </c>
      <c r="E18" s="3" t="s">
        <v>64</v>
      </c>
      <c r="F18" s="1" t="s">
        <v>15</v>
      </c>
      <c r="G18" s="1" t="s">
        <v>65</v>
      </c>
      <c r="H18" s="1">
        <v>1800</v>
      </c>
      <c r="M18" s="6" t="s">
        <v>86</v>
      </c>
    </row>
    <row r="19" spans="1:13" x14ac:dyDescent="0.35">
      <c r="A19" s="1">
        <v>16</v>
      </c>
      <c r="B19" s="1" t="s">
        <v>67</v>
      </c>
      <c r="C19" s="1" t="s">
        <v>68</v>
      </c>
      <c r="D19" s="1" t="s">
        <v>70</v>
      </c>
      <c r="E19" s="3" t="s">
        <v>69</v>
      </c>
      <c r="F19" s="1" t="s">
        <v>15</v>
      </c>
      <c r="G19" s="1"/>
      <c r="H19" s="1">
        <v>1800</v>
      </c>
      <c r="M19" s="6" t="s">
        <v>87</v>
      </c>
    </row>
    <row r="20" spans="1:13" x14ac:dyDescent="0.35">
      <c r="A20" s="1">
        <v>17</v>
      </c>
      <c r="B20" s="9" t="s">
        <v>92</v>
      </c>
      <c r="C20" s="1"/>
      <c r="D20" s="1" t="s">
        <v>129</v>
      </c>
      <c r="E20" s="3" t="s">
        <v>93</v>
      </c>
      <c r="F20" s="1" t="s">
        <v>130</v>
      </c>
      <c r="G20" s="1"/>
      <c r="H20" s="1">
        <v>1800</v>
      </c>
      <c r="M20" s="6" t="s">
        <v>88</v>
      </c>
    </row>
    <row r="21" spans="1:13" x14ac:dyDescent="0.35">
      <c r="A21" s="1">
        <v>18</v>
      </c>
      <c r="B21" s="9" t="s">
        <v>94</v>
      </c>
      <c r="C21" s="1" t="s">
        <v>104</v>
      </c>
      <c r="D21" s="1" t="s">
        <v>105</v>
      </c>
      <c r="E21" s="3" t="s">
        <v>95</v>
      </c>
      <c r="F21" s="1" t="s">
        <v>15</v>
      </c>
      <c r="G21" s="1" t="s">
        <v>106</v>
      </c>
      <c r="H21" s="1">
        <v>1800</v>
      </c>
      <c r="M21" s="7" t="s">
        <v>89</v>
      </c>
    </row>
    <row r="22" spans="1:13" x14ac:dyDescent="0.35">
      <c r="A22" s="1">
        <v>19</v>
      </c>
      <c r="B22" s="1" t="s">
        <v>97</v>
      </c>
      <c r="C22" s="1" t="s">
        <v>137</v>
      </c>
      <c r="D22" s="1" t="s">
        <v>136</v>
      </c>
      <c r="E22" s="3" t="s">
        <v>96</v>
      </c>
      <c r="F22" s="1"/>
      <c r="G22" s="1"/>
      <c r="H22" s="1">
        <v>1800</v>
      </c>
      <c r="M22" s="7" t="s">
        <v>90</v>
      </c>
    </row>
    <row r="23" spans="1:13" x14ac:dyDescent="0.35">
      <c r="A23" s="1">
        <v>20</v>
      </c>
      <c r="B23" s="9" t="s">
        <v>98</v>
      </c>
      <c r="C23" s="1" t="s">
        <v>125</v>
      </c>
      <c r="D23" s="1" t="s">
        <v>127</v>
      </c>
      <c r="E23" s="3" t="s">
        <v>99</v>
      </c>
      <c r="F23" s="1"/>
      <c r="G23" s="1" t="s">
        <v>126</v>
      </c>
      <c r="H23" s="1">
        <v>1800</v>
      </c>
      <c r="M23" s="7" t="s">
        <v>91</v>
      </c>
    </row>
    <row r="24" spans="1:13" x14ac:dyDescent="0.35">
      <c r="A24" s="52">
        <v>21</v>
      </c>
      <c r="B24" s="53" t="s">
        <v>100</v>
      </c>
      <c r="C24" s="52" t="s">
        <v>131</v>
      </c>
      <c r="D24" s="1" t="s">
        <v>132</v>
      </c>
      <c r="E24" s="3" t="s">
        <v>101</v>
      </c>
      <c r="F24" s="52"/>
      <c r="G24" s="52"/>
      <c r="H24" s="49">
        <v>1800</v>
      </c>
    </row>
    <row r="25" spans="1:13" x14ac:dyDescent="0.35">
      <c r="A25" s="52"/>
      <c r="B25" s="53"/>
      <c r="C25" s="52"/>
      <c r="D25" s="1" t="s">
        <v>133</v>
      </c>
      <c r="E25" s="3" t="s">
        <v>134</v>
      </c>
      <c r="F25" s="52"/>
      <c r="G25" s="52"/>
      <c r="H25" s="49"/>
    </row>
    <row r="26" spans="1:13" x14ac:dyDescent="0.35">
      <c r="B26" s="8" t="s">
        <v>60</v>
      </c>
      <c r="E26" s="5"/>
      <c r="H26" s="8">
        <f>SUM(H4:H25)</f>
        <v>37800</v>
      </c>
      <c r="K26">
        <v>32222.51</v>
      </c>
      <c r="L26">
        <f>H26-K26</f>
        <v>5577.4900000000016</v>
      </c>
    </row>
    <row r="27" spans="1:13" x14ac:dyDescent="0.35">
      <c r="E27" s="5"/>
    </row>
    <row r="28" spans="1:13" x14ac:dyDescent="0.35">
      <c r="B28" s="10" t="s">
        <v>102</v>
      </c>
      <c r="E28" s="5"/>
      <c r="H28">
        <f>1800*21</f>
        <v>37800</v>
      </c>
    </row>
    <row r="29" spans="1:13" x14ac:dyDescent="0.35">
      <c r="B29" s="10" t="s">
        <v>103</v>
      </c>
      <c r="E29" s="5"/>
      <c r="G29" t="s">
        <v>138</v>
      </c>
      <c r="H29">
        <f>553*21</f>
        <v>11613</v>
      </c>
    </row>
    <row r="30" spans="1:13" x14ac:dyDescent="0.35">
      <c r="B30" s="10" t="s">
        <v>108</v>
      </c>
      <c r="E30" s="5"/>
      <c r="G30" t="s">
        <v>139</v>
      </c>
      <c r="H30">
        <v>8647</v>
      </c>
      <c r="I30">
        <f>(H30+740)/21</f>
        <v>447</v>
      </c>
    </row>
    <row r="31" spans="1:13" x14ac:dyDescent="0.35">
      <c r="B31" s="10" t="s">
        <v>107</v>
      </c>
      <c r="E31" s="5"/>
      <c r="G31" t="s">
        <v>140</v>
      </c>
      <c r="H31">
        <f>H28-H29-H30</f>
        <v>17540</v>
      </c>
    </row>
    <row r="32" spans="1:13" x14ac:dyDescent="0.35">
      <c r="B32" s="10" t="s">
        <v>109</v>
      </c>
      <c r="E32" s="5"/>
    </row>
    <row r="33" spans="2:13" x14ac:dyDescent="0.35">
      <c r="B33" s="10" t="s">
        <v>110</v>
      </c>
      <c r="E33" s="5"/>
    </row>
    <row r="34" spans="2:13" x14ac:dyDescent="0.35">
      <c r="B34" s="11" t="s">
        <v>111</v>
      </c>
      <c r="E34" s="5"/>
    </row>
    <row r="35" spans="2:13" x14ac:dyDescent="0.35">
      <c r="B35" s="10" t="s">
        <v>112</v>
      </c>
      <c r="E35" s="5"/>
    </row>
    <row r="36" spans="2:13" x14ac:dyDescent="0.35">
      <c r="B36" s="10" t="s">
        <v>113</v>
      </c>
      <c r="E36" s="5"/>
    </row>
    <row r="37" spans="2:13" x14ac:dyDescent="0.35">
      <c r="B37" s="10" t="s">
        <v>114</v>
      </c>
      <c r="E37" s="5"/>
    </row>
    <row r="38" spans="2:13" x14ac:dyDescent="0.35">
      <c r="B38" s="10" t="s">
        <v>115</v>
      </c>
      <c r="E38" s="5"/>
    </row>
    <row r="39" spans="2:13" x14ac:dyDescent="0.35">
      <c r="B39" s="10" t="s">
        <v>116</v>
      </c>
      <c r="E39" s="5"/>
    </row>
    <row r="40" spans="2:13" x14ac:dyDescent="0.35">
      <c r="B40" s="10" t="s">
        <v>117</v>
      </c>
      <c r="E40" s="5"/>
    </row>
    <row r="41" spans="2:13" x14ac:dyDescent="0.35">
      <c r="B41" s="10" t="s">
        <v>118</v>
      </c>
      <c r="E41" s="5"/>
    </row>
    <row r="42" spans="2:13" x14ac:dyDescent="0.35">
      <c r="B42" s="10" t="s">
        <v>119</v>
      </c>
      <c r="E42" s="5"/>
    </row>
    <row r="43" spans="2:13" x14ac:dyDescent="0.35">
      <c r="B43" s="10" t="s">
        <v>120</v>
      </c>
      <c r="E43" s="5"/>
    </row>
    <row r="44" spans="2:13" x14ac:dyDescent="0.35">
      <c r="B44" s="10" t="s">
        <v>121</v>
      </c>
      <c r="E44" s="5"/>
    </row>
    <row r="45" spans="2:13" x14ac:dyDescent="0.35">
      <c r="B45" s="11" t="s">
        <v>122</v>
      </c>
      <c r="E45" s="5"/>
    </row>
    <row r="46" spans="2:13" x14ac:dyDescent="0.35">
      <c r="B46" s="10" t="s">
        <v>123</v>
      </c>
      <c r="E46" s="5"/>
      <c r="M46" s="7"/>
    </row>
    <row r="47" spans="2:13" x14ac:dyDescent="0.35">
      <c r="B47" s="10" t="s">
        <v>124</v>
      </c>
      <c r="E47" s="5"/>
    </row>
    <row r="48" spans="2:13" x14ac:dyDescent="0.35">
      <c r="B48" s="10" t="s">
        <v>128</v>
      </c>
      <c r="E48" s="5"/>
    </row>
    <row r="49" spans="5:5" x14ac:dyDescent="0.35">
      <c r="E49" s="5"/>
    </row>
    <row r="50" spans="5:5" x14ac:dyDescent="0.35">
      <c r="E50" s="5"/>
    </row>
    <row r="51" spans="5:5" x14ac:dyDescent="0.35">
      <c r="E51" s="5"/>
    </row>
    <row r="52" spans="5:5" x14ac:dyDescent="0.35">
      <c r="E52" s="5"/>
    </row>
    <row r="53" spans="5:5" x14ac:dyDescent="0.35">
      <c r="E53" s="5"/>
    </row>
    <row r="54" spans="5:5" x14ac:dyDescent="0.35">
      <c r="E54" s="5"/>
    </row>
    <row r="55" spans="5:5" x14ac:dyDescent="0.35">
      <c r="E55" s="5"/>
    </row>
    <row r="56" spans="5:5" x14ac:dyDescent="0.35">
      <c r="E56" s="5"/>
    </row>
    <row r="57" spans="5:5" x14ac:dyDescent="0.35">
      <c r="E57" s="5"/>
    </row>
    <row r="58" spans="5:5" x14ac:dyDescent="0.35">
      <c r="E58" s="5"/>
    </row>
    <row r="59" spans="5:5" x14ac:dyDescent="0.35">
      <c r="E59" s="5"/>
    </row>
    <row r="60" spans="5:5" x14ac:dyDescent="0.35">
      <c r="E60" s="5"/>
    </row>
    <row r="61" spans="5:5" x14ac:dyDescent="0.35">
      <c r="E61" s="5"/>
    </row>
    <row r="62" spans="5:5" x14ac:dyDescent="0.35">
      <c r="E62" s="5"/>
    </row>
    <row r="63" spans="5:5" x14ac:dyDescent="0.35">
      <c r="E63" s="5"/>
    </row>
    <row r="64" spans="5:5" x14ac:dyDescent="0.35">
      <c r="E64" s="5"/>
    </row>
    <row r="65" spans="5:5" x14ac:dyDescent="0.35">
      <c r="E65" s="5"/>
    </row>
    <row r="66" spans="5:5" x14ac:dyDescent="0.35">
      <c r="E66" s="5"/>
    </row>
    <row r="67" spans="5:5" x14ac:dyDescent="0.35">
      <c r="E67" s="5"/>
    </row>
    <row r="68" spans="5:5" x14ac:dyDescent="0.35">
      <c r="E68" s="5"/>
    </row>
    <row r="69" spans="5:5" x14ac:dyDescent="0.35">
      <c r="E69" s="5"/>
    </row>
  </sheetData>
  <mergeCells count="8">
    <mergeCell ref="A24:A25"/>
    <mergeCell ref="F24:F25"/>
    <mergeCell ref="G24:G25"/>
    <mergeCell ref="H24:H25"/>
    <mergeCell ref="B3:C3"/>
    <mergeCell ref="F3:G3"/>
    <mergeCell ref="B24:B25"/>
    <mergeCell ref="C24:C2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виньетки</vt:lpstr>
      <vt:lpstr>8 МАРТА</vt:lpstr>
      <vt:lpstr>НГ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Жибек Туменбаева</dc:creator>
  <cp:lastModifiedBy>Жибек Туменбаева</cp:lastModifiedBy>
  <dcterms:created xsi:type="dcterms:W3CDTF">2025-11-24T04:28:14Z</dcterms:created>
  <dcterms:modified xsi:type="dcterms:W3CDTF">2026-05-21T04:54:51Z</dcterms:modified>
</cp:coreProperties>
</file>